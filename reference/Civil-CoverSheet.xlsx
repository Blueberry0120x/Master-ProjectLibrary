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D:\DevOps\ProjectBook-Planner\reference\"/>
    </mc:Choice>
  </mc:AlternateContent>
  <xr:revisionPtr revIDLastSave="0" documentId="13_ncr:1_{9A3EC952-0B2A-45C0-B716-942B16901020}" xr6:coauthVersionLast="47" xr6:coauthVersionMax="47" xr10:uidLastSave="{00000000-0000-0000-0000-000000000000}"/>
  <bookViews>
    <workbookView xWindow="-108" yWindow="-108" windowWidth="23256" windowHeight="12456" xr2:uid="{58112EBA-A0B9-4B38-9559-8FCF3613996E}"/>
  </bookViews>
  <sheets>
    <sheet name="Civil-CoverSheet" sheetId="14" r:id="rId1"/>
    <sheet name="4_CAD Export-DNU_OLD" sheetId="13" state="hidden" r:id="rId2"/>
    <sheet name="NOTE" sheetId="10" state="hidden" r:id="rId3"/>
    <sheet name="0_Ref_Link" sheetId="2" state="hidden" r:id="rId4"/>
    <sheet name="1.3_Ref_Space" sheetId="8"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13" l="1"/>
  <c r="E1" i="13" s="1"/>
  <c r="B13" i="13"/>
  <c r="I14" i="13" l="1"/>
  <c r="I16" i="13" s="1"/>
  <c r="I17" i="13" l="1"/>
  <c r="I18" i="13" s="1"/>
  <c r="B15" i="13" l="1"/>
  <c r="B18" i="13"/>
  <c r="D15" i="13"/>
  <c r="B16" i="13"/>
  <c r="D14" i="13"/>
  <c r="I20" i="13" s="1"/>
  <c r="B14" i="13"/>
  <c r="B17" i="13"/>
  <c r="B25" i="13"/>
  <c r="B26" i="13"/>
  <c r="I15" i="13" l="1"/>
  <c r="I19" i="13" s="1"/>
  <c r="D20" i="13"/>
  <c r="E14" i="13"/>
  <c r="B24" i="13"/>
  <c r="B23" i="13"/>
  <c r="B22" i="13"/>
  <c r="D16" i="13" l="1"/>
  <c r="D17" i="13" l="1"/>
  <c r="D18" i="13" s="1"/>
  <c r="E20"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Pham, Nathan</author>
  </authors>
  <commentList>
    <comment ref="P1" authorId="0" shapeId="0" xr:uid="{767FDAF9-5B27-4602-AA01-4BE2E46C9E29}">
      <text>
        <r>
          <rPr>
            <b/>
            <sz val="9"/>
            <color indexed="81"/>
            <rFont val="Tahoma"/>
            <family val="2"/>
          </rPr>
          <t>Pham, Nathan:</t>
        </r>
        <r>
          <rPr>
            <sz val="9"/>
            <color indexed="81"/>
            <rFont val="Tahoma"/>
            <family val="2"/>
          </rPr>
          <t xml:space="preserve">
Fees removed or lowered
ADUs smaller than 750 square feet are now exempt from impact fees imposed by local agencies, special districts, and water companies. (An impact fee is a one-time fee imposed on a property developer to offset the impact on public infrastructure; one study estimates the impact fee for a single-family home in California to be more than $23,000.) Fees for units larger than 750 square feet must be charged proportionately based on the square footage of the ADU and the square footage of the primary home.
As for utility connection fees and capacity charges, ADU conversions from existing space (and JADUs) are no longer considered new residential uses unless built with a new single-family dwelling.</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1C943E-2FA2-4C76-BEA4-CD47FED532F0}" keepAlive="1" name="Query - ADEC_Contract" description="Connection to the 'ADEC_Contract' query in the workbook." type="5" refreshedVersion="8" background="1" saveData="1">
    <dbPr connection="Provider=Microsoft.Mashup.OleDb.1;Data Source=$Workbook$;Location=ADEC_Contract;Extended Properties=&quot;&quot;" command="SELECT * FROM [ADEC_Contrac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<sst xmlns="http://schemas.openxmlformats.org/spreadsheetml/2006/main" count="274" uniqueCount="207">
  <si>
    <t>RS-1-7</t>
  </si>
  <si>
    <t>CALIFORNIA - PROPERTY REPORT</t>
  </si>
  <si>
    <t>SAN DIEGO GIS _ PARCEL</t>
  </si>
  <si>
    <t>ADU_NEWs</t>
  </si>
  <si>
    <t>ANAHEIM - Primary Lot Code - CODE</t>
  </si>
  <si>
    <t>ANAHEIM - ADU Code - CODE</t>
  </si>
  <si>
    <t>SYMBIUM - PROP RESEARCH</t>
  </si>
  <si>
    <t>APPLICATIONS AND FORMS - BUILDING</t>
  </si>
  <si>
    <t>COVER SHEET + ARCH PLAN + CIVIL MODEL</t>
  </si>
  <si>
    <t>ADDED ELECTRICAL/ SOLAR PLAN +  STRUCTURAL STAMP + PURSUING PERMIT</t>
  </si>
  <si>
    <t>COMPLETE PACKAGE -&gt; MINOR DETAIL TO COMPLETEION + REVISION NEEDED</t>
  </si>
  <si>
    <t>Municipal Code</t>
  </si>
  <si>
    <t>California ADU Information - Symbium</t>
  </si>
  <si>
    <t>CALIFORNIA - ADUs - HAD Code</t>
  </si>
  <si>
    <t>Code Link</t>
  </si>
  <si>
    <t>SDC - Code/ Appointment</t>
  </si>
  <si>
    <t>County Clerk Link</t>
  </si>
  <si>
    <t>Main</t>
  </si>
  <si>
    <t>Ref</t>
  </si>
  <si>
    <t>Zoning</t>
  </si>
  <si>
    <t>Link</t>
  </si>
  <si>
    <t>DSD - Permit</t>
  </si>
  <si>
    <t>Parcel Look-up</t>
  </si>
  <si>
    <t>Export Parcel Data (GIS)</t>
  </si>
  <si>
    <t>GIS - Measurement</t>
  </si>
  <si>
    <t>Topo</t>
  </si>
  <si>
    <t>Project Checklist</t>
  </si>
  <si>
    <t>Dev. Service</t>
  </si>
  <si>
    <t>Chap. 13</t>
  </si>
  <si>
    <t>Chap. 14</t>
  </si>
  <si>
    <t>Project Name:</t>
  </si>
  <si>
    <t>Parking Requirement</t>
  </si>
  <si>
    <t xml:space="preserve">§131.0455 Private Exterior Open Space in the RM Zones </t>
  </si>
  <si>
    <t xml:space="preserve">In the RM-1-1, RM-1-2, and RM-1-3 zones, at least 60 square feet of usable, 
private, exterior open space abutting each dwelling unit shall be provided with 
a minimum dimension of 6 feet in any direction.  The open space may be 
located in required yard areas, but shall be no closer than 9 feet to the front or 
rear property lines, and no closer than 4 feet to the side property lines.  See 
Diagram 131-04R. </t>
  </si>
  <si>
    <t xml:space="preserve">§131.0456 Common Open Space in the RM Zones </t>
  </si>
  <si>
    <t xml:space="preserve">In all RM zones, premises with more than four dwelling units shall include common 
open space as follows: </t>
  </si>
  <si>
    <t>a) The common open space area shall be at least 300 square feet, or 25 square feet per dwelling unit, whichever is greater.</t>
  </si>
  <si>
    <t>b) At least one area of common open space shall be provided with minimum dimensions of 12 feet by 15 feet. This space shall be improved as a usable area with lawn or recreational facilities.</t>
  </si>
  <si>
    <t>c) Roofed structures may occupy a maximum of 50 percent of the common open space area. No enclosed buildings are permitted in the common open space area.</t>
  </si>
  <si>
    <t>d) Common open space may be provided in the required side and rear yards.</t>
  </si>
  <si>
    <t>Back to Project</t>
  </si>
  <si>
    <t>ADU Handbook (SD city)</t>
  </si>
  <si>
    <t>Pre-App Plan</t>
  </si>
  <si>
    <t>Housing Affordability</t>
  </si>
  <si>
    <t>5550 Redwood St, San Diego, CA 92105</t>
  </si>
  <si>
    <t>To Master List</t>
  </si>
  <si>
    <t>477-640-31-00</t>
  </si>
  <si>
    <t>NOTE:</t>
  </si>
  <si>
    <t>Special Note for San Marcos:</t>
  </si>
  <si>
    <t>Lot Standard (Link)</t>
  </si>
  <si>
    <t>ADU Req. (Link)</t>
  </si>
  <si>
    <t>VCHP_Certification_List.xlsx</t>
  </si>
  <si>
    <t>Local File - VCHP</t>
  </si>
  <si>
    <t>HERS Rating (Tittle 24/ Energy)</t>
  </si>
  <si>
    <t>Certification Packets for Appliances</t>
  </si>
  <si>
    <t>MAEDbS --&gt; SEARCH</t>
  </si>
  <si>
    <t>MiniSplit EnergStar - Search</t>
  </si>
  <si>
    <t>Req for ADU - CA.Energy</t>
  </si>
  <si>
    <t>R-3</t>
  </si>
  <si>
    <t>SPRINKLES (E),(F):</t>
  </si>
  <si>
    <t xml:space="preserve">PROJECT ADDRESS: </t>
  </si>
  <si>
    <t>LEGAL DESCRIPTION:</t>
  </si>
  <si>
    <t>PARCEL#:</t>
  </si>
  <si>
    <t>BASE ZONE:</t>
  </si>
  <si>
    <t xml:space="preserve">OCCUPANCY GROUP: </t>
  </si>
  <si>
    <t>FIRE ALARM (E),(F):</t>
  </si>
  <si>
    <t>NO</t>
  </si>
  <si>
    <t>LOT WIDTH:</t>
  </si>
  <si>
    <t>HEIGHT RESTRICTION:</t>
  </si>
  <si>
    <t>STANDARD SETBACKS:</t>
  </si>
  <si>
    <t>YEAR BUILT</t>
  </si>
  <si>
    <t>Building Area Summary (Land Coverage)</t>
  </si>
  <si>
    <t>Work Description</t>
  </si>
  <si>
    <t>- Propose 1 two-story structure with 2 detached ADUs.
- One unit will be deed-restricted for affordable housing.
- Each ADU will be 900 S.F. with 2 bedrooms and 2 bathrooms.</t>
  </si>
  <si>
    <t>Proposed New ADU(s):</t>
  </si>
  <si>
    <t>TOTAL DISTURBANCE AREA:</t>
  </si>
  <si>
    <t>EXISTING AMOUNT OF IMPERVIOUS AREA:</t>
  </si>
  <si>
    <t>PROPOSED IMPERVIOUS AREA:</t>
  </si>
  <si>
    <t>PROPOSED IMPERVIOUS (REPLACED):</t>
  </si>
  <si>
    <t>TOTAL IMPERVIOUS AREA:</t>
  </si>
  <si>
    <t>AMOUNT OF CUT AND FILL IMPORT:</t>
  </si>
  <si>
    <t>MAX CUT AND FILL DEPTH:</t>
  </si>
  <si>
    <t>A.</t>
  </si>
  <si>
    <t>B.</t>
  </si>
  <si>
    <t>C.</t>
  </si>
  <si>
    <t>D.</t>
  </si>
  <si>
    <t>E.</t>
  </si>
  <si>
    <t>F.</t>
  </si>
  <si>
    <t>G.</t>
  </si>
  <si>
    <t>Max FAR:</t>
  </si>
  <si>
    <t>- Propose 1 story structure with as detached ADU.
- The ADU will be 1000 S.F. with 2 bedrooms and 2 bathrooms.</t>
  </si>
  <si>
    <t>Proposed FAR:</t>
  </si>
  <si>
    <t>Earthwork Quantities</t>
  </si>
  <si>
    <t>FT</t>
  </si>
  <si>
    <t>Min Lot/ Density (S.F.):</t>
  </si>
  <si>
    <t>Buildable FAR (S.F.):</t>
  </si>
  <si>
    <t>S.F.</t>
  </si>
  <si>
    <t>C.Y.</t>
  </si>
  <si>
    <t>NO ADDITIONAL CUT AND FILL WILL BE PERFORMED.
IMPERVIOUS AREA INCLUDED STRUCTURAL &amp; HARDSCAPE.
INCORPORATE A DS-570, 'MINOR' INTO PLAN SET.</t>
  </si>
  <si>
    <t>--&gt; NET PROPOSED IMPERVIOUS AREA:</t>
  </si>
  <si>
    <t>--&gt; IMPERVIOUSE % INCREASE:</t>
  </si>
  <si>
    <t>School Fee</t>
  </si>
  <si>
    <t>TR 2640 LOT 61</t>
  </si>
  <si>
    <t>- Propose 2 two-story structure as 4 detached ADUs.
-  2 of which will be deed-restricted for affordable housing.
- Each ADU will be 800 S.F. with 2 bedrooms and 2 bathrooms.</t>
  </si>
  <si>
    <t>Lot Size (S.F.):</t>
  </si>
  <si>
    <t>Ex. Bld (S.F.):</t>
  </si>
  <si>
    <t>%</t>
  </si>
  <si>
    <t>Project Information</t>
  </si>
  <si>
    <t>A.    TOTAL DISTURBANCE AREA:</t>
  </si>
  <si>
    <t>C.    PROPOSED IMPERVIOUS AREA:</t>
  </si>
  <si>
    <t>D.    PROPOSED IMPERVIOUS (REPLACED):</t>
  </si>
  <si>
    <t>E.    TOTAL IMPERVIOUS AREA:</t>
  </si>
  <si>
    <t>F.    AMOUNT OF CUT AND FILL IMPORT:</t>
  </si>
  <si>
    <t>G.    MAX CUT AND FILL DEPTH:</t>
  </si>
  <si>
    <t>Land Coverage</t>
  </si>
  <si>
    <t>LOT SIZE (S.F.):</t>
  </si>
  <si>
    <t>EX. BLD (S.F.):</t>
  </si>
  <si>
    <t>MIN LOT/ DENSITY (S.F.):</t>
  </si>
  <si>
    <t>MAX FAR:</t>
  </si>
  <si>
    <t>BUILDABLE FAR (S.F.):</t>
  </si>
  <si>
    <r>
      <rPr>
        <b/>
        <sz val="11"/>
        <color theme="1"/>
        <rFont val="Aptos Narrow"/>
        <family val="2"/>
        <charset val="1"/>
      </rPr>
      <t>→</t>
    </r>
    <r>
      <rPr>
        <b/>
        <sz val="11"/>
        <color theme="1"/>
        <rFont val="Calibri"/>
        <family val="2"/>
        <scheme val="minor"/>
      </rPr>
      <t xml:space="preserve"> TOTAL FAR:</t>
    </r>
  </si>
  <si>
    <t>PROPOSED ADU(S):</t>
  </si>
  <si>
    <t>FAR CHECK:</t>
  </si>
  <si>
    <t>Tag</t>
  </si>
  <si>
    <t>Dimension</t>
  </si>
  <si>
    <t>Type</t>
  </si>
  <si>
    <t>A</t>
  </si>
  <si>
    <t>60" × 48"</t>
  </si>
  <si>
    <t>Door - Single Flush</t>
  </si>
  <si>
    <t>B</t>
  </si>
  <si>
    <t>96" × 48"</t>
  </si>
  <si>
    <t>Door - Pocket Door</t>
  </si>
  <si>
    <t>C</t>
  </si>
  <si>
    <t>76" × 48"</t>
  </si>
  <si>
    <t>D</t>
  </si>
  <si>
    <t>24" × 36"</t>
  </si>
  <si>
    <t>Door - Barn Door</t>
  </si>
  <si>
    <t>E</t>
  </si>
  <si>
    <t>48" × 36"</t>
  </si>
  <si>
    <t>Door - Exterior Door</t>
  </si>
  <si>
    <t>F</t>
  </si>
  <si>
    <t>Door - Closet Door</t>
  </si>
  <si>
    <t>Window - Sliding - Double</t>
  </si>
  <si>
    <t>Window - Sliding - Four</t>
  </si>
  <si>
    <t>Window - Sliding - Two</t>
  </si>
  <si>
    <t>Window - Single - Hung</t>
  </si>
  <si>
    <t>C-01</t>
  </si>
  <si>
    <t>SITE PLAN - COVER SHEET</t>
  </si>
  <si>
    <t>A-01</t>
  </si>
  <si>
    <t>A-02</t>
  </si>
  <si>
    <t>A-03</t>
  </si>
  <si>
    <t>ARCHITECTURAL DETAILS</t>
  </si>
  <si>
    <t>N-01</t>
  </si>
  <si>
    <t>GENERAL &amp; CONSTRUCTION NOTES</t>
  </si>
  <si>
    <t>N-02</t>
  </si>
  <si>
    <t>RESIDENTIAL MEASURES SUMMARY</t>
  </si>
  <si>
    <t>S-00</t>
  </si>
  <si>
    <t>STRUCTURAL GENERAL NOTES</t>
  </si>
  <si>
    <t>S-01</t>
  </si>
  <si>
    <t>STRUCTURAL PLAN</t>
  </si>
  <si>
    <t>SD-01</t>
  </si>
  <si>
    <t>STRUCTURE DETAILS - 1</t>
  </si>
  <si>
    <t>SD-02</t>
  </si>
  <si>
    <t>STRUCTURE DETAILS - 2</t>
  </si>
  <si>
    <t>T24-01</t>
  </si>
  <si>
    <t>TITLE 24 - 1</t>
  </si>
  <si>
    <t>T24-02</t>
  </si>
  <si>
    <t>TITLE 24 - 2</t>
  </si>
  <si>
    <t>EC-01</t>
  </si>
  <si>
    <t>BMP STRUCTURAL PLAN</t>
  </si>
  <si>
    <t>Sheet Index</t>
  </si>
  <si>
    <t>AVERAGE ELEVATION</t>
  </si>
  <si>
    <t>375-FT</t>
  </si>
  <si>
    <t>DSD ADDRESSING</t>
  </si>
  <si>
    <t>NAME:</t>
  </si>
  <si>
    <t>EMAIL:</t>
  </si>
  <si>
    <t>DSD STRUCTURAL</t>
  </si>
  <si>
    <t>DSD PLANNING</t>
  </si>
  <si>
    <t>DSD ENGINEER BUILDING</t>
  </si>
  <si>
    <t>DSD COMBINED</t>
  </si>
  <si>
    <t>DSD HISTORIAL</t>
  </si>
  <si>
    <t>Duncan Lule</t>
  </si>
  <si>
    <t>dlule@sandiego.gov</t>
  </si>
  <si>
    <t>Omar Garcia</t>
  </si>
  <si>
    <t>OmarG@sandiego.gov</t>
  </si>
  <si>
    <t>Alvin Lin</t>
  </si>
  <si>
    <t>AMLin@sandiego.gov</t>
  </si>
  <si>
    <t>Emily Bodor</t>
  </si>
  <si>
    <t>EBodor@sandiego.gov</t>
  </si>
  <si>
    <t>Macy La</t>
  </si>
  <si>
    <t>MLa@sandiego.gov</t>
  </si>
  <si>
    <t>SPRINKLES (E),(F):  NO</t>
  </si>
  <si>
    <t>FIRE ALARM (E),(F):  NO</t>
  </si>
  <si>
    <t>STD. SETBACKS:</t>
  </si>
  <si>
    <t>B.    EX. AMOUNT OF IMPERVIOUS AREA:</t>
  </si>
  <si>
    <t>PROPOSED ADU FLOOR &amp; ROOF PLAN</t>
  </si>
  <si>
    <t>ELEVATION &amp; CROSS-SECTION PLAN</t>
  </si>
  <si>
    <t>SD-03</t>
  </si>
  <si>
    <t>STRUCTURE DETAILS - 3</t>
  </si>
  <si>
    <t>(0.133 ac)</t>
  </si>
  <si>
    <t>SHEET</t>
  </si>
  <si>
    <t>SHEET NAME</t>
  </si>
  <si>
    <t> → NET PROPOSED IMPERVIOUS AREA:</t>
  </si>
  <si>
    <t> → IMPERVIOUSE % INCREASE:</t>
  </si>
  <si>
    <t>2.04</t>
  </si>
  <si>
    <t>Complied - Max = 0.59</t>
  </si>
  <si>
    <t xml:space="preserve">Front - 15-FT | Back - 13-FT | Side - 4-FT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</si>
</sst>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_(* #,##0.000_);_(* \(#,##0.000\);_(* &quot;-&quot;??_);_(@_)"/>
    <numFmt numFmtId="167" formatCode="0.0000"/>
    <numFmt numFmtId="169" formatCode="_(* #,##0.0_);_(* \(#,##0.0\);_(* &quot;-&quot;??_);_(@_)"/>
    <numFmt numFmtId="170" formatCode="0.0"/>
  </numFmts>
  <fonts count="21" x14ac:knownFonts="1">
    <font>
      <sz val="11"/>
      <color theme="1"/>
      <name val="Calibri"/>
      <family val="2"/>
      <scheme val="minor"/>
    </font>
    <font>
      <b/>
      <sz val="11"/>
      <color theme="1"/>
      <name val="Calibri"/>
      <family val="2"/>
      <scheme val="minor"/>
    </font>
    <font>
      <u/>
      <sz val="11"/>
      <color theme="10"/>
      <name val="Calibri"/>
      <family val="2"/>
      <scheme val="minor"/>
    </font>
    <font>
      <sz val="9"/>
      <color indexed="81"/>
      <name val="Tahoma"/>
      <family val="2"/>
    </font>
    <font>
      <b/>
      <sz val="9"/>
      <color indexed="81"/>
      <name val="Tahoma"/>
      <family val="2"/>
    </font>
    <font>
      <u/>
      <sz val="12"/>
      <color theme="10"/>
      <name val="Calibri"/>
      <family val="2"/>
      <scheme val="minor"/>
    </font>
    <font>
      <sz val="12"/>
      <color theme="1"/>
      <name val="Calibri"/>
      <family val="2"/>
      <scheme val="minor"/>
    </font>
    <font>
      <b/>
      <u/>
      <sz val="16"/>
      <color theme="10"/>
      <name val="Calibri"/>
      <family val="2"/>
      <scheme val="minor"/>
    </font>
    <font>
      <sz val="11"/>
      <color theme="1"/>
      <name val="Calibri"/>
      <family val="2"/>
      <scheme val="minor"/>
    </font>
    <font>
      <b/>
      <u/>
      <sz val="11"/>
      <color theme="1"/>
      <name val="Calibri"/>
      <family val="2"/>
      <scheme val="minor"/>
    </font>
    <font>
      <b/>
      <u/>
      <sz val="14"/>
      <color theme="10"/>
      <name val="Calibri"/>
      <family val="2"/>
      <scheme val="minor"/>
    </font>
    <font>
      <b/>
      <u/>
      <sz val="11"/>
      <color theme="10"/>
      <name val="Calibri"/>
      <family val="2"/>
      <scheme val="minor"/>
    </font>
    <font>
      <b/>
      <sz val="12"/>
      <color theme="1"/>
      <name val="Calibri"/>
      <family val="2"/>
      <scheme val="minor"/>
    </font>
    <font>
      <u/>
      <sz val="11"/>
      <name val="Calibri"/>
      <family val="2"/>
      <scheme val="minor"/>
    </font>
    <font>
      <u/>
      <sz val="11"/>
      <color theme="11"/>
      <name val="Calibri"/>
      <family val="2"/>
      <scheme val="minor"/>
    </font>
    <font>
      <u/>
      <sz val="11"/>
      <color theme="8"/>
      <name val="Calibri"/>
      <family val="2"/>
      <scheme val="minor"/>
    </font>
    <font>
      <b/>
      <i/>
      <u/>
      <sz val="11"/>
      <color theme="8"/>
      <name val="Calibri"/>
      <family val="2"/>
      <scheme val="minor"/>
    </font>
    <font>
      <sz val="9"/>
      <color theme="1"/>
      <name val="Calibri"/>
      <family val="2"/>
      <scheme val="minor"/>
    </font>
    <font>
      <b/>
      <i/>
      <sz val="12"/>
      <name val="Calibri"/>
      <family val="2"/>
      <scheme val="minor"/>
    </font>
    <font>
      <sz val="11"/>
      <name val="Calibri"/>
      <family val="2"/>
      <scheme val="minor"/>
    </font>
    <font>
      <b/>
      <sz val="11"/>
      <color theme="1"/>
      <name val="Aptos Narrow"/>
      <family val="2"/>
      <charset val="1"/>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10">
    <border>
      <left/>
      <right/>
      <top/>
      <bottom/>
      <diagonal/>
    </border>
    <border>
      <left/>
      <right/>
      <top style="thin">
        <color theme="8" tint="0.39997558519241921"/>
      </top>
      <bottom style="thin">
        <color theme="8" tint="0.39997558519241921"/>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s>
  <cellStyleXfs count="8">
    <xf numFmtId="0" fontId="0" fillId="0" borderId="0"/>
    <xf numFmtId="0" fontId="13" fillId="0" borderId="0" applyNumberFormat="0" applyFill="0" applyBorder="0" applyAlignment="0" applyProtection="0"/>
    <xf numFmtId="43" fontId="8"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ont="0" applyFill="0" applyBorder="0" applyAlignment="0" applyProtection="0"/>
    <xf numFmtId="0" fontId="14" fillId="0" borderId="0" applyNumberFormat="0" applyFill="0" applyBorder="0" applyAlignment="0" applyProtection="0"/>
  </cellStyleXfs>
  <cellXfs count="83">
    <xf numFmtId="0" fontId="0" fillId="0" borderId="0" xfId="0"/>
    <xf numFmtId="0" fontId="0" fillId="0" borderId="0" xfId="0" applyAlignment="1">
      <alignment horizontal="left"/>
    </xf>
    <xf numFmtId="0" fontId="1" fillId="2" borderId="0" xfId="0" applyFont="1" applyFill="1"/>
    <xf numFmtId="0" fontId="1" fillId="0" borderId="0" xfId="0" applyFont="1"/>
    <xf numFmtId="0" fontId="1" fillId="0" borderId="0" xfId="0" applyFont="1" applyAlignment="1">
      <alignment horizontal="center"/>
    </xf>
    <xf numFmtId="0" fontId="5" fillId="0" borderId="0" xfId="0" applyFont="1" applyAlignment="1">
      <alignment horizontal="left"/>
    </xf>
    <xf numFmtId="0" fontId="6" fillId="0" borderId="0" xfId="0" applyFont="1" applyAlignment="1">
      <alignment horizontal="left"/>
    </xf>
    <xf numFmtId="0" fontId="1" fillId="2" borderId="0" xfId="0" applyFont="1" applyFill="1" applyAlignment="1">
      <alignment horizontal="center"/>
    </xf>
    <xf numFmtId="0" fontId="5" fillId="0" borderId="0" xfId="0" applyFont="1"/>
    <xf numFmtId="9" fontId="1" fillId="2" borderId="0" xfId="0" applyNumberFormat="1" applyFont="1" applyFill="1"/>
    <xf numFmtId="0" fontId="0" fillId="0" borderId="1" xfId="0" applyBorder="1" applyAlignment="1">
      <alignment horizontal="left"/>
    </xf>
    <xf numFmtId="0" fontId="6" fillId="0" borderId="0" xfId="0" applyFont="1" applyAlignment="1">
      <alignment horizontal="center"/>
    </xf>
    <xf numFmtId="0" fontId="7" fillId="0" borderId="0" xfId="0" applyFont="1"/>
    <xf numFmtId="0" fontId="0" fillId="0" borderId="0" xfId="0" applyAlignment="1">
      <alignment horizontal="left" indent="1"/>
    </xf>
    <xf numFmtId="0" fontId="9" fillId="0" borderId="0" xfId="0" applyFont="1"/>
    <xf numFmtId="0" fontId="10" fillId="0" borderId="0" xfId="0" applyFont="1" applyAlignment="1">
      <alignment horizontal="left" indent="1"/>
    </xf>
    <xf numFmtId="0" fontId="0" fillId="3" borderId="0" xfId="0" applyFill="1"/>
    <xf numFmtId="0" fontId="0" fillId="3" borderId="0" xfId="0" applyFill="1" applyAlignment="1">
      <alignment horizontal="right"/>
    </xf>
    <xf numFmtId="164" fontId="0" fillId="3" borderId="0" xfId="2" applyNumberFormat="1" applyFont="1" applyFill="1" applyAlignment="1">
      <alignment horizontal="left"/>
    </xf>
    <xf numFmtId="0" fontId="11" fillId="0" borderId="3" xfId="0" applyFont="1" applyBorder="1" applyAlignment="1">
      <alignment horizontal="center" vertical="top"/>
    </xf>
    <xf numFmtId="0" fontId="1" fillId="3" borderId="0" xfId="0" applyFont="1" applyFill="1"/>
    <xf numFmtId="0" fontId="0" fillId="3" borderId="0" xfId="0" applyFill="1" applyAlignment="1">
      <alignment horizontal="left"/>
    </xf>
    <xf numFmtId="0" fontId="12" fillId="3" borderId="0" xfId="0" applyFont="1" applyFill="1" applyAlignment="1">
      <alignment vertical="center"/>
    </xf>
    <xf numFmtId="165" fontId="0" fillId="3" borderId="0" xfId="2" applyNumberFormat="1" applyFont="1" applyFill="1" applyAlignment="1">
      <alignment horizontal="left"/>
    </xf>
    <xf numFmtId="164" fontId="0" fillId="3" borderId="0" xfId="2" applyNumberFormat="1" applyFont="1" applyFill="1" applyAlignment="1">
      <alignment horizontal="right"/>
    </xf>
    <xf numFmtId="0" fontId="0" fillId="3" borderId="0" xfId="0" applyFill="1" applyAlignment="1">
      <alignment horizontal="center"/>
    </xf>
    <xf numFmtId="0" fontId="0" fillId="0" borderId="0" xfId="0" applyAlignment="1">
      <alignment vertical="center" wrapText="1"/>
    </xf>
    <xf numFmtId="0" fontId="15" fillId="0" borderId="0" xfId="6" applyFont="1"/>
    <xf numFmtId="0" fontId="15" fillId="0" borderId="0" xfId="6" applyFont="1" applyAlignment="1">
      <alignment horizontal="left" indent="2"/>
    </xf>
    <xf numFmtId="0" fontId="16" fillId="0" borderId="0" xfId="6" applyFont="1"/>
    <xf numFmtId="165" fontId="0" fillId="3" borderId="0" xfId="2" applyNumberFormat="1" applyFont="1" applyFill="1" applyAlignment="1">
      <alignment horizontal="right"/>
    </xf>
    <xf numFmtId="164" fontId="0" fillId="3" borderId="0" xfId="2" applyNumberFormat="1" applyFont="1" applyFill="1" applyAlignment="1">
      <alignment horizontal="left" vertical="center"/>
    </xf>
    <xf numFmtId="49" fontId="0" fillId="3" borderId="0" xfId="0" quotePrefix="1" applyNumberFormat="1" applyFill="1" applyAlignment="1">
      <alignment horizontal="left"/>
    </xf>
    <xf numFmtId="0" fontId="19" fillId="3" borderId="0" xfId="0" applyFont="1" applyFill="1" applyAlignment="1">
      <alignment horizontal="left"/>
    </xf>
    <xf numFmtId="49" fontId="0" fillId="3" borderId="0" xfId="0" quotePrefix="1" applyNumberFormat="1" applyFill="1" applyAlignment="1">
      <alignment vertical="top" wrapText="1"/>
    </xf>
    <xf numFmtId="0" fontId="0" fillId="3" borderId="0" xfId="0" applyFill="1" applyAlignment="1">
      <alignment horizontal="left" vertical="center"/>
    </xf>
    <xf numFmtId="0" fontId="18" fillId="3" borderId="0" xfId="0" applyFont="1" applyFill="1" applyAlignment="1">
      <alignment vertical="center"/>
    </xf>
    <xf numFmtId="0" fontId="18" fillId="3" borderId="0" xfId="0" applyFont="1" applyFill="1" applyAlignment="1">
      <alignment horizontal="left" vertical="center"/>
    </xf>
    <xf numFmtId="0" fontId="1" fillId="3" borderId="0" xfId="0" applyFont="1" applyFill="1" applyAlignment="1">
      <alignment vertical="center"/>
    </xf>
    <xf numFmtId="0" fontId="0" fillId="3" borderId="0" xfId="2" applyNumberFormat="1" applyFont="1" applyFill="1" applyAlignment="1">
      <alignment horizontal="left" vertical="center"/>
    </xf>
    <xf numFmtId="167" fontId="0" fillId="3" borderId="0" xfId="0" applyNumberFormat="1" applyFill="1" applyAlignment="1">
      <alignment horizontal="left" vertical="center"/>
    </xf>
    <xf numFmtId="0" fontId="0" fillId="3" borderId="0" xfId="0" applyFill="1" applyAlignment="1">
      <alignment horizontal="right" vertical="center"/>
    </xf>
    <xf numFmtId="164" fontId="0" fillId="3" borderId="0" xfId="2" applyNumberFormat="1" applyFont="1" applyFill="1" applyAlignment="1">
      <alignment horizontal="right" vertical="center"/>
    </xf>
    <xf numFmtId="0" fontId="17" fillId="3" borderId="0" xfId="0" applyFont="1" applyFill="1"/>
    <xf numFmtId="0" fontId="17" fillId="3" borderId="0" xfId="0" applyFont="1" applyFill="1" applyAlignment="1">
      <alignment horizontal="right"/>
    </xf>
    <xf numFmtId="0" fontId="0" fillId="3" borderId="0" xfId="0" quotePrefix="1" applyFill="1" applyAlignment="1">
      <alignment horizontal="left" indent="2"/>
    </xf>
    <xf numFmtId="2" fontId="0" fillId="3" borderId="0" xfId="0" applyNumberFormat="1" applyFill="1"/>
    <xf numFmtId="0" fontId="17" fillId="3" borderId="0" xfId="0" applyFont="1" applyFill="1" applyAlignment="1">
      <alignment wrapText="1"/>
    </xf>
    <xf numFmtId="0" fontId="0" fillId="3" borderId="0" xfId="0" applyFill="1" applyAlignment="1">
      <alignment horizontal="left" vertical="center" wrapText="1"/>
    </xf>
    <xf numFmtId="0" fontId="17" fillId="3" borderId="0" xfId="0" applyFont="1" applyFill="1" applyAlignment="1">
      <alignment horizontal="left"/>
    </xf>
    <xf numFmtId="0" fontId="1" fillId="3" borderId="0" xfId="0" applyFont="1" applyFill="1" applyAlignment="1">
      <alignment vertical="top"/>
    </xf>
    <xf numFmtId="0" fontId="0" fillId="3" borderId="0" xfId="0" applyFill="1" applyAlignment="1">
      <alignment vertical="top"/>
    </xf>
    <xf numFmtId="0" fontId="17" fillId="3" borderId="0" xfId="0" applyFont="1" applyFill="1" applyAlignment="1">
      <alignment horizontal="right" wrapText="1"/>
    </xf>
    <xf numFmtId="0" fontId="18" fillId="3" borderId="0" xfId="0" applyFont="1" applyFill="1"/>
    <xf numFmtId="0" fontId="17" fillId="3" borderId="0" xfId="0" applyFont="1" applyFill="1" applyAlignment="1">
      <alignment horizontal="left" wrapText="1"/>
    </xf>
    <xf numFmtId="0" fontId="0" fillId="3" borderId="0" xfId="0" quotePrefix="1" applyFill="1" applyAlignment="1">
      <alignment horizontal="left"/>
    </xf>
    <xf numFmtId="0" fontId="1" fillId="3" borderId="0" xfId="0" quotePrefix="1" applyFont="1" applyFill="1" applyAlignment="1">
      <alignment vertical="center"/>
    </xf>
    <xf numFmtId="0" fontId="1" fillId="3" borderId="0" xfId="0" applyFont="1" applyFill="1" applyAlignment="1">
      <alignment horizontal="center" vertical="center" wrapText="1"/>
    </xf>
    <xf numFmtId="0" fontId="0" fillId="3" borderId="0" xfId="0" applyFill="1" applyAlignment="1">
      <alignment vertical="center" wrapText="1"/>
    </xf>
    <xf numFmtId="49" fontId="0" fillId="3" borderId="0" xfId="0" applyNumberFormat="1" applyFill="1" applyAlignment="1">
      <alignment vertical="center" wrapText="1"/>
    </xf>
    <xf numFmtId="49" fontId="1" fillId="3" borderId="0" xfId="0" applyNumberFormat="1" applyFont="1" applyFill="1" applyAlignment="1">
      <alignment vertical="center" wrapText="1"/>
    </xf>
    <xf numFmtId="0" fontId="0" fillId="3" borderId="0" xfId="0" applyFill="1" applyAlignment="1">
      <alignment horizontal="center" vertical="center" wrapText="1"/>
    </xf>
    <xf numFmtId="0" fontId="9" fillId="3" borderId="0" xfId="0" applyFont="1" applyFill="1" applyAlignment="1">
      <alignment horizontal="center" vertical="center" wrapText="1"/>
    </xf>
    <xf numFmtId="43" fontId="0" fillId="3" borderId="0" xfId="2" applyFont="1" applyFill="1" applyAlignment="1">
      <alignment horizontal="left" vertical="center"/>
    </xf>
    <xf numFmtId="169" fontId="0" fillId="3" borderId="0" xfId="2" applyNumberFormat="1" applyFont="1" applyFill="1" applyAlignment="1">
      <alignment horizontal="right" vertical="center"/>
    </xf>
    <xf numFmtId="0" fontId="0" fillId="0" borderId="0" xfId="0" applyAlignment="1">
      <alignment horizontal="center"/>
    </xf>
    <xf numFmtId="0" fontId="18" fillId="3" borderId="0" xfId="0" applyFont="1" applyFill="1" applyAlignment="1">
      <alignment horizontal="center" vertical="center"/>
    </xf>
    <xf numFmtId="0" fontId="1" fillId="3" borderId="6" xfId="0" applyFont="1" applyFill="1" applyBorder="1" applyAlignment="1">
      <alignment horizontal="right" vertical="center"/>
    </xf>
    <xf numFmtId="0" fontId="1" fillId="3" borderId="3" xfId="0" applyFont="1" applyFill="1" applyBorder="1" applyAlignment="1">
      <alignment horizontal="right" vertical="center"/>
    </xf>
    <xf numFmtId="0" fontId="1" fillId="3" borderId="5" xfId="0" applyFont="1" applyFill="1" applyBorder="1" applyAlignment="1">
      <alignment horizontal="right" vertical="center"/>
    </xf>
    <xf numFmtId="49" fontId="0" fillId="3" borderId="8" xfId="0" quotePrefix="1" applyNumberFormat="1" applyFill="1" applyBorder="1" applyAlignment="1">
      <alignment horizontal="left" vertical="top" wrapText="1"/>
    </xf>
    <xf numFmtId="49" fontId="0" fillId="3" borderId="4" xfId="0" quotePrefix="1" applyNumberFormat="1" applyFill="1" applyBorder="1" applyAlignment="1">
      <alignment horizontal="left" vertical="top" wrapText="1"/>
    </xf>
    <xf numFmtId="49" fontId="0" fillId="3" borderId="9" xfId="0" quotePrefix="1" applyNumberFormat="1" applyFill="1" applyBorder="1" applyAlignment="1">
      <alignment horizontal="left" vertical="top" wrapText="1"/>
    </xf>
    <xf numFmtId="0" fontId="1" fillId="3" borderId="0" xfId="0" applyFont="1" applyFill="1" applyAlignment="1">
      <alignment horizontal="center" vertical="center" wrapText="1"/>
    </xf>
    <xf numFmtId="0" fontId="18" fillId="3" borderId="0" xfId="0" applyFont="1" applyFill="1" applyAlignment="1">
      <alignment horizontal="center"/>
    </xf>
    <xf numFmtId="0" fontId="17" fillId="3" borderId="0" xfId="0" applyFont="1" applyFill="1" applyAlignment="1">
      <alignment horizontal="center"/>
    </xf>
    <xf numFmtId="49" fontId="0" fillId="3" borderId="7" xfId="0" quotePrefix="1" applyNumberFormat="1" applyFill="1" applyBorder="1" applyAlignment="1">
      <alignment horizontal="left" vertical="top" wrapText="1"/>
    </xf>
    <xf numFmtId="49" fontId="0" fillId="3" borderId="0" xfId="0" quotePrefix="1" applyNumberFormat="1" applyFill="1" applyAlignment="1">
      <alignment horizontal="left" vertical="top" wrapText="1"/>
    </xf>
    <xf numFmtId="49" fontId="0" fillId="3" borderId="2" xfId="0" quotePrefix="1" applyNumberFormat="1" applyFill="1" applyBorder="1" applyAlignment="1">
      <alignment horizontal="left" vertical="top" wrapText="1"/>
    </xf>
    <xf numFmtId="0" fontId="0" fillId="0" borderId="0" xfId="0" applyAlignment="1">
      <alignment horizontal="left" wrapText="1"/>
    </xf>
    <xf numFmtId="0" fontId="1" fillId="0" borderId="0" xfId="0" applyFont="1" applyAlignment="1">
      <alignment horizontal="center" vertical="center"/>
    </xf>
    <xf numFmtId="0" fontId="0" fillId="0" borderId="0" xfId="0" applyAlignment="1">
      <alignment horizontal="left"/>
    </xf>
    <xf numFmtId="170" fontId="0" fillId="3" borderId="0" xfId="0" applyNumberFormat="1" applyFill="1" applyAlignment="1">
      <alignment horizontal="left" vertical="center"/>
    </xf>
  </cellXfs>
  <cellStyles count="8">
    <cellStyle name="Comma" xfId="2" builtinId="3"/>
    <cellStyle name="Followed Hyperlink" xfId="7" builtinId="9" customBuiltin="1"/>
    <cellStyle name="Hyperlink" xfId="1" builtinId="8" hidden="1" customBuiltin="1"/>
    <cellStyle name="Hyperlink" xfId="3" builtinId="8" hidden="1"/>
    <cellStyle name="Hyperlink" xfId="4" builtinId="8" hidden="1"/>
    <cellStyle name="Hyperlink" xfId="5" builtinId="8" hidden="1"/>
    <cellStyle name="Hyperlink" xfId="6" builtinId="8" customBuiltin="1"/>
    <cellStyle name="Normal" xfId="0" builtinId="0"/>
  </cellStyles>
  <dxfs count="2">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connections" Target="connections.xml"/><Relationship Id="rId12" Type="http://schemas.microsoft.com/office/2017/06/relationships/rdRichValue" Target="richData/rdrichvalue.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85725</xdr:rowOff>
    </xdr:from>
    <xdr:to>
      <xdr:col>1</xdr:col>
      <xdr:colOff>780908</xdr:colOff>
      <xdr:row>51</xdr:row>
      <xdr:rowOff>919</xdr:rowOff>
    </xdr:to>
    <xdr:pic>
      <xdr:nvPicPr>
        <xdr:cNvPr id="2" name="Picture 1">
          <a:extLst>
            <a:ext uri="{FF2B5EF4-FFF2-40B4-BE49-F238E27FC236}">
              <a16:creationId xmlns:a16="http://schemas.microsoft.com/office/drawing/2014/main" id="{06BC022E-B122-45DD-BCD9-62CD6B6CCA41}"/>
            </a:ext>
          </a:extLst>
        </xdr:cNvPr>
        <xdr:cNvPicPr>
          <a:picLocks noChangeAspect="1"/>
        </xdr:cNvPicPr>
      </xdr:nvPicPr>
      <xdr:blipFill>
        <a:blip xmlns:r="http://schemas.openxmlformats.org/officeDocument/2006/relationships" r:embed="rId1"/>
        <a:stretch>
          <a:fillRect/>
        </a:stretch>
      </xdr:blipFill>
      <xdr:spPr>
        <a:xfrm>
          <a:off x="0" y="3238500"/>
          <a:ext cx="3000794" cy="6582694"/>
        </a:xfrm>
        <a:prstGeom prst="rect">
          <a:avLst/>
        </a:prstGeom>
      </xdr:spPr>
    </xdr:pic>
    <xdr:clientData/>
  </xdr:twoCellAnchor>
  <xdr:twoCellAnchor editAs="oneCell">
    <xdr:from>
      <xdr:col>3</xdr:col>
      <xdr:colOff>459442</xdr:colOff>
      <xdr:row>7</xdr:row>
      <xdr:rowOff>22412</xdr:rowOff>
    </xdr:from>
    <xdr:to>
      <xdr:col>17</xdr:col>
      <xdr:colOff>275788</xdr:colOff>
      <xdr:row>57</xdr:row>
      <xdr:rowOff>42794</xdr:rowOff>
    </xdr:to>
    <xdr:pic>
      <xdr:nvPicPr>
        <xdr:cNvPr id="5" name="Picture 4">
          <a:extLst>
            <a:ext uri="{FF2B5EF4-FFF2-40B4-BE49-F238E27FC236}">
              <a16:creationId xmlns:a16="http://schemas.microsoft.com/office/drawing/2014/main" id="{FCB90B16-2F28-2CA5-E1A2-AA463932F21D}"/>
            </a:ext>
          </a:extLst>
        </xdr:cNvPr>
        <xdr:cNvPicPr>
          <a:picLocks noChangeAspect="1"/>
          <a:extLst>
            <a:ext uri="{53484399-7A02-498B-ADA4-41CD10E50FAC}">
              <aif:imageFormula xmlns:aif="http://schemas.microsoft.com/office/drawing/2022/imageformula" formula="NOTE!C8"/>
            </a:ext>
          </a:extLst>
        </xdr:cNvPicPr>
      </xdr:nvPicPr>
      <xdr:blipFill>
        <a:blip xmlns:r="http://schemas.openxmlformats.org/officeDocument/2006/relationships" r:embed="rId2"/>
        <a:stretch>
          <a:fillRect/>
        </a:stretch>
      </xdr:blipFill>
      <xdr:spPr>
        <a:xfrm>
          <a:off x="6880413" y="1467971"/>
          <a:ext cx="12927229" cy="95453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4556</xdr:colOff>
      <xdr:row>0</xdr:row>
      <xdr:rowOff>62197</xdr:rowOff>
    </xdr:from>
    <xdr:to>
      <xdr:col>12</xdr:col>
      <xdr:colOff>518154</xdr:colOff>
      <xdr:row>15</xdr:row>
      <xdr:rowOff>132523</xdr:rowOff>
    </xdr:to>
    <xdr:pic>
      <xdr:nvPicPr>
        <xdr:cNvPr id="2" name="Picture 1">
          <a:extLst>
            <a:ext uri="{FF2B5EF4-FFF2-40B4-BE49-F238E27FC236}">
              <a16:creationId xmlns:a16="http://schemas.microsoft.com/office/drawing/2014/main" id="{11175180-9C9A-4626-8D8C-CB9E56C99024}"/>
            </a:ext>
          </a:extLst>
        </xdr:cNvPr>
        <xdr:cNvPicPr>
          <a:picLocks noChangeAspect="1"/>
        </xdr:cNvPicPr>
      </xdr:nvPicPr>
      <xdr:blipFill>
        <a:blip xmlns:r="http://schemas.openxmlformats.org/officeDocument/2006/relationships" r:embed="rId1"/>
        <a:stretch>
          <a:fillRect/>
        </a:stretch>
      </xdr:blipFill>
      <xdr:spPr>
        <a:xfrm>
          <a:off x="6199947" y="62197"/>
          <a:ext cx="3213729" cy="2977522"/>
        </a:xfrm>
        <a:prstGeom prst="rect">
          <a:avLst/>
        </a:prstGeom>
      </xdr:spPr>
    </xdr:pic>
    <xdr:clientData/>
  </xdr:twoCellAnchor>
  <xdr:twoCellAnchor editAs="oneCell">
    <xdr:from>
      <xdr:col>12</xdr:col>
      <xdr:colOff>447261</xdr:colOff>
      <xdr:row>0</xdr:row>
      <xdr:rowOff>0</xdr:rowOff>
    </xdr:from>
    <xdr:to>
      <xdr:col>18</xdr:col>
      <xdr:colOff>552091</xdr:colOff>
      <xdr:row>18</xdr:row>
      <xdr:rowOff>178904</xdr:rowOff>
    </xdr:to>
    <xdr:pic>
      <xdr:nvPicPr>
        <xdr:cNvPr id="3" name="Picture 2">
          <a:extLst>
            <a:ext uri="{FF2B5EF4-FFF2-40B4-BE49-F238E27FC236}">
              <a16:creationId xmlns:a16="http://schemas.microsoft.com/office/drawing/2014/main" id="{B656EA61-572A-6FB4-556A-C42BF657A3F5}"/>
            </a:ext>
          </a:extLst>
        </xdr:cNvPr>
        <xdr:cNvPicPr>
          <a:picLocks noChangeAspect="1"/>
        </xdr:cNvPicPr>
      </xdr:nvPicPr>
      <xdr:blipFill>
        <a:blip xmlns:r="http://schemas.openxmlformats.org/officeDocument/2006/relationships" r:embed="rId2"/>
        <a:stretch>
          <a:fillRect/>
        </a:stretch>
      </xdr:blipFill>
      <xdr:spPr>
        <a:xfrm>
          <a:off x="9342783" y="0"/>
          <a:ext cx="5124091" cy="3657600"/>
        </a:xfrm>
        <a:prstGeom prst="rect">
          <a:avLst/>
        </a:prstGeom>
      </xdr:spPr>
    </xdr:pic>
    <xdr:clientData/>
  </xdr:twoCellAnchor>
  <xdr:twoCellAnchor editAs="oneCell">
    <xdr:from>
      <xdr:col>12</xdr:col>
      <xdr:colOff>471622</xdr:colOff>
      <xdr:row>35</xdr:row>
      <xdr:rowOff>60414</xdr:rowOff>
    </xdr:from>
    <xdr:to>
      <xdr:col>18</xdr:col>
      <xdr:colOff>546876</xdr:colOff>
      <xdr:row>49</xdr:row>
      <xdr:rowOff>136614</xdr:rowOff>
    </xdr:to>
    <xdr:pic>
      <xdr:nvPicPr>
        <xdr:cNvPr id="4" name="Picture 3">
          <a:extLst>
            <a:ext uri="{FF2B5EF4-FFF2-40B4-BE49-F238E27FC236}">
              <a16:creationId xmlns:a16="http://schemas.microsoft.com/office/drawing/2014/main" id="{F8F95336-7743-5A81-5573-B132066D5D66}"/>
            </a:ext>
          </a:extLst>
        </xdr:cNvPr>
        <xdr:cNvPicPr>
          <a:picLocks noChangeAspect="1"/>
        </xdr:cNvPicPr>
      </xdr:nvPicPr>
      <xdr:blipFill>
        <a:blip xmlns:r="http://schemas.openxmlformats.org/officeDocument/2006/relationships" r:embed="rId3"/>
        <a:stretch>
          <a:fillRect/>
        </a:stretch>
      </xdr:blipFill>
      <xdr:spPr>
        <a:xfrm>
          <a:off x="9346681" y="6772738"/>
          <a:ext cx="5117901" cy="2743200"/>
        </a:xfrm>
        <a:prstGeom prst="rect">
          <a:avLst/>
        </a:prstGeom>
      </xdr:spPr>
    </xdr:pic>
    <xdr:clientData/>
  </xdr:twoCellAnchor>
  <xdr:twoCellAnchor editAs="oneCell">
    <xdr:from>
      <xdr:col>12</xdr:col>
      <xdr:colOff>481853</xdr:colOff>
      <xdr:row>20</xdr:row>
      <xdr:rowOff>33617</xdr:rowOff>
    </xdr:from>
    <xdr:to>
      <xdr:col>18</xdr:col>
      <xdr:colOff>498836</xdr:colOff>
      <xdr:row>34</xdr:row>
      <xdr:rowOff>109817</xdr:rowOff>
    </xdr:to>
    <xdr:pic>
      <xdr:nvPicPr>
        <xdr:cNvPr id="5" name="Picture 4">
          <a:extLst>
            <a:ext uri="{FF2B5EF4-FFF2-40B4-BE49-F238E27FC236}">
              <a16:creationId xmlns:a16="http://schemas.microsoft.com/office/drawing/2014/main" id="{A4E949B9-3C43-5501-F11B-874084774D21}"/>
            </a:ext>
          </a:extLst>
        </xdr:cNvPr>
        <xdr:cNvPicPr>
          <a:picLocks noChangeAspect="1"/>
        </xdr:cNvPicPr>
      </xdr:nvPicPr>
      <xdr:blipFill rotWithShape="1">
        <a:blip xmlns:r="http://schemas.openxmlformats.org/officeDocument/2006/relationships" r:embed="rId4"/>
        <a:srcRect l="2656" t="23591" r="3390"/>
        <a:stretch/>
      </xdr:blipFill>
      <xdr:spPr>
        <a:xfrm>
          <a:off x="9356912" y="3888441"/>
          <a:ext cx="5059630" cy="2743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symbium.com/research/california-adu" TargetMode="External"/><Relationship Id="rId13" Type="http://schemas.openxmlformats.org/officeDocument/2006/relationships/hyperlink" Target="https://library.municode.com/ca/san_marcos/codes/code_of_ordinances?nodeId=TIT20ZO_CH20.410ACDWUNACST_S20.410.060ADJUADRE" TargetMode="External"/><Relationship Id="rId18" Type="http://schemas.openxmlformats.org/officeDocument/2006/relationships/hyperlink" Target="https://www.energy.ca.gov/files/certification-packets-appliances" TargetMode="External"/><Relationship Id="rId3" Type="http://schemas.openxmlformats.org/officeDocument/2006/relationships/hyperlink" Target="https://www.gatheradu.com/blog/what-is-title-24-and-why-do-i-need-it-for-my-adu" TargetMode="External"/><Relationship Id="rId21" Type="http://schemas.openxmlformats.org/officeDocument/2006/relationships/printerSettings" Target="../printerSettings/printerSettings2.bin"/><Relationship Id="rId7" Type="http://schemas.openxmlformats.org/officeDocument/2006/relationships/hyperlink" Target="https://symbium.com/research/california-adu" TargetMode="External"/><Relationship Id="rId12" Type="http://schemas.openxmlformats.org/officeDocument/2006/relationships/hyperlink" Target="../../../Project%20Folder/_PROJECT_DEVELOPMENT/00000_CHECKLIST/San_Diego-Checklist.xlsx" TargetMode="External"/><Relationship Id="rId17" Type="http://schemas.openxmlformats.org/officeDocument/2006/relationships/hyperlink" Target="https://www.energy.ca.gov/programs-and-topics/programs/appliance-efficiency-program-outreach-and-education/modernized" TargetMode="External"/><Relationship Id="rId2" Type="http://schemas.openxmlformats.org/officeDocument/2006/relationships/hyperlink" Target="https://www.hcd.ca.gov/planning-and-community-development/housing-elements/building-blocks/accessory-dwelling-units" TargetMode="External"/><Relationship Id="rId16" Type="http://schemas.openxmlformats.org/officeDocument/2006/relationships/hyperlink" Target="../../../Project%20Folder/_PROJECT_DEVELOPMENT/CALI" TargetMode="External"/><Relationship Id="rId20" Type="http://schemas.openxmlformats.org/officeDocument/2006/relationships/hyperlink" Target="https://www.energy.ca.gov/programs-and-topics/programs/building-energy-efficiency-standards/energy-code-support-center-6/2022" TargetMode="External"/><Relationship Id="rId1" Type="http://schemas.openxmlformats.org/officeDocument/2006/relationships/hyperlink" Target="https://www.countyoffice.org/ca-property-records/" TargetMode="External"/><Relationship Id="rId6" Type="http://schemas.openxmlformats.org/officeDocument/2006/relationships/hyperlink" Target="https://sdgis.sandag.org/" TargetMode="External"/><Relationship Id="rId11" Type="http://schemas.openxmlformats.org/officeDocument/2006/relationships/hyperlink" Target="https://www.sandiegocounty.gov/content/sdc/pds/generalplan.html" TargetMode="External"/><Relationship Id="rId24" Type="http://schemas.openxmlformats.org/officeDocument/2006/relationships/comments" Target="../comments1.xml"/><Relationship Id="rId5" Type="http://schemas.openxmlformats.org/officeDocument/2006/relationships/hyperlink" Target="https://codelibrary.amlegal.com/codes/anaheim/latest/anaheim_ca/0-0-0-65574" TargetMode="External"/><Relationship Id="rId15" Type="http://schemas.openxmlformats.org/officeDocument/2006/relationships/hyperlink" Target="https://www.energy.ca.gov/media/2437" TargetMode="External"/><Relationship Id="rId23" Type="http://schemas.openxmlformats.org/officeDocument/2006/relationships/vmlDrawing" Target="../drawings/vmlDrawing1.vml"/><Relationship Id="rId10" Type="http://schemas.openxmlformats.org/officeDocument/2006/relationships/hyperlink" Target="https://docs.sandiego.gov/municode/MuniCodeChapter13/Ch13Art01Division04.pdf" TargetMode="External"/><Relationship Id="rId19" Type="http://schemas.openxmlformats.org/officeDocument/2006/relationships/hyperlink" Target="https://cacertappliances.energy.ca.gov/Pages/Search/AdvancedSearch.aspx" TargetMode="External"/><Relationship Id="rId4" Type="http://schemas.openxmlformats.org/officeDocument/2006/relationships/hyperlink" Target="https://codelibrary.amlegal.com/codes/anaheim/latest/anaheim_ca/0-0-0-67963" TargetMode="External"/><Relationship Id="rId9" Type="http://schemas.openxmlformats.org/officeDocument/2006/relationships/hyperlink" Target="https://ocds.ocpublicworks.com/service-areas/oc-development-services/planning-development/applications-and-forms" TargetMode="External"/><Relationship Id="rId14" Type="http://schemas.openxmlformats.org/officeDocument/2006/relationships/hyperlink" Target="https://library.municode.com/ca/san_marcos/codes/code_of_ordinances?nodeId=TIT20ZO_CH20.410ACDWUNACST_S20.410.060ADJUADRE" TargetMode="External"/><Relationship Id="rId2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hyperlink" Target="https://sandiego.maps.arcgis.com/apps/instant/sidebar/index.html?appid=75f6a5d68aee481f8ff48240bcaa1239" TargetMode="External"/><Relationship Id="rId13" Type="http://schemas.openxmlformats.org/officeDocument/2006/relationships/hyperlink" Target="https://www.sandiegocounty.gov/content/sdc/pds/bldg/adu_plans.html" TargetMode="External"/><Relationship Id="rId3" Type="http://schemas.openxmlformats.org/officeDocument/2006/relationships/hyperlink" Target="https://sandiego.maps.arcgis.com/apps/instant/sidebar/index.html?appid=75f6a5d68aee481f8ff48240bcaa1239" TargetMode="External"/><Relationship Id="rId7" Type="http://schemas.openxmlformats.org/officeDocument/2006/relationships/hyperlink" Target="https://oceanside.maps.arcgis.com/apps/webappviewer/index.html?id=b3f0000402044ca1a724f84dda988d0e&amp;extent=-13069787.2898%2C3915650.637%2C-13046856.1813%2C3933919.0868%2C102100" TargetMode="External"/><Relationship Id="rId12" Type="http://schemas.openxmlformats.org/officeDocument/2006/relationships/hyperlink" Target="https://www.sandiego.gov/planning/work/housing/toolkit/accessory-dwelling-units" TargetMode="External"/><Relationship Id="rId2" Type="http://schemas.openxmlformats.org/officeDocument/2006/relationships/hyperlink" Target="https://www.countyoffice.org/property-record-2268-comstock-st-72-san-diego-ca-92111-1dc/" TargetMode="External"/><Relationship Id="rId1" Type="http://schemas.openxmlformats.org/officeDocument/2006/relationships/hyperlink" Target="https://www.countyoffice.org/property-record-2263-comstock-st-65-san-diego-ca-92111-1d2/" TargetMode="External"/><Relationship Id="rId6" Type="http://schemas.openxmlformats.org/officeDocument/2006/relationships/hyperlink" Target="https://sdgis.sandag.org/" TargetMode="External"/><Relationship Id="rId11" Type="http://schemas.openxmlformats.org/officeDocument/2006/relationships/hyperlink" Target="../../../Project%20Folder/_PROJECT_DEVELOPMENT/00000_CHECKLIST/Ch14Art03Division01.pdf" TargetMode="External"/><Relationship Id="rId5" Type="http://schemas.openxmlformats.org/officeDocument/2006/relationships/hyperlink" Target="https://geo.sandag.org/portal/apps/experiencebuilder/experience/?id=1d105857933641e0a8496d2769b31aec" TargetMode="External"/><Relationship Id="rId10" Type="http://schemas.openxmlformats.org/officeDocument/2006/relationships/hyperlink" Target="../../../Project%20Folder/_PROJECT_DEVELOPMENT/00000_CHECKLIST/Ch13Art01Division04.pdf" TargetMode="External"/><Relationship Id="rId4" Type="http://schemas.openxmlformats.org/officeDocument/2006/relationships/hyperlink" Target="https://sandiego.maps.arcgis.com/apps/instant/sidebar/index.html?appid=b9641fb06e8d4c6ab45d1c5ca8411840" TargetMode="External"/><Relationship Id="rId9" Type="http://schemas.openxmlformats.org/officeDocument/2006/relationships/hyperlink" Target="https://www.sandiego.gov/development-services" TargetMode="External"/><Relationship Id="rId14" Type="http://schemas.openxmlformats.org/officeDocument/2006/relationships/hyperlink" Target="https://www.sandiego.gov/planning/work/housing/toolkit/accessory-dwelling-unit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CA3E9-8227-48AE-915F-A56D6CDB694B}">
  <dimension ref="A1:Y31"/>
  <sheetViews>
    <sheetView tabSelected="1" zoomScale="85" zoomScaleNormal="85" workbookViewId="0">
      <selection activeCell="B5" sqref="B5"/>
    </sheetView>
  </sheetViews>
  <sheetFormatPr defaultColWidth="9.109375" defaultRowHeight="14.4" x14ac:dyDescent="0.3"/>
  <cols>
    <col min="1" max="1" width="20.109375" style="51" customWidth="1"/>
    <col min="2" max="2" width="36.21875" style="21" customWidth="1"/>
    <col min="3" max="3" width="18.6640625" style="21" customWidth="1"/>
    <col min="4" max="4" width="26" style="17" customWidth="1"/>
    <col min="5" max="5" width="10.33203125" style="21" customWidth="1"/>
    <col min="6" max="6" width="8.33203125" style="21" customWidth="1"/>
    <col min="7" max="7" width="18.6640625" style="21" customWidth="1"/>
    <col min="8" max="8" width="40.88671875" style="21" customWidth="1"/>
    <col min="9" max="9" width="10.33203125" style="21" customWidth="1"/>
    <col min="10" max="10" width="4.33203125" style="17" bestFit="1" customWidth="1"/>
    <col min="11" max="11" width="2.5546875" style="16" bestFit="1" customWidth="1"/>
    <col min="12" max="13" width="2.5546875" style="16" customWidth="1"/>
    <col min="14" max="14" width="11.109375" style="16" bestFit="1" customWidth="1"/>
    <col min="15" max="15" width="37.77734375" style="16" customWidth="1"/>
    <col min="16" max="16" width="2.5546875" style="16" customWidth="1"/>
    <col min="17" max="17" width="4.109375" style="17" bestFit="1" customWidth="1"/>
    <col min="18" max="18" width="9.88671875" style="21" bestFit="1" customWidth="1"/>
    <col min="19" max="19" width="25.109375" style="21" bestFit="1" customWidth="1"/>
    <col min="20" max="20" width="2.5546875" style="16" customWidth="1"/>
    <col min="21" max="21" width="7.88671875" style="21" customWidth="1"/>
    <col min="22" max="22" width="25.109375" style="21" customWidth="1"/>
    <col min="23" max="23" width="18.6640625" style="21" customWidth="1"/>
    <col min="24" max="24" width="9.109375" style="16"/>
    <col min="25" max="25" width="55.33203125" style="16" customWidth="1"/>
    <col min="26" max="16384" width="9.109375" style="16"/>
  </cols>
  <sheetData>
    <row r="1" spans="1:25" ht="16.2" thickBot="1" x14ac:dyDescent="0.35">
      <c r="A1" s="66" t="s">
        <v>107</v>
      </c>
      <c r="B1" s="66"/>
      <c r="D1" s="66" t="s">
        <v>114</v>
      </c>
      <c r="E1" s="66"/>
      <c r="F1" s="66"/>
      <c r="H1" s="66" t="s">
        <v>92</v>
      </c>
      <c r="I1" s="66"/>
      <c r="J1" s="66"/>
      <c r="K1" s="53"/>
      <c r="L1" s="53"/>
      <c r="M1" s="53"/>
      <c r="N1" s="73" t="s">
        <v>170</v>
      </c>
      <c r="O1" s="73"/>
      <c r="P1" s="53"/>
      <c r="Q1" s="60" t="s">
        <v>123</v>
      </c>
      <c r="R1" s="57" t="s">
        <v>124</v>
      </c>
      <c r="S1" s="57" t="s">
        <v>125</v>
      </c>
      <c r="T1" s="53"/>
      <c r="U1" s="73" t="s">
        <v>173</v>
      </c>
      <c r="V1" s="73"/>
      <c r="X1" s="18"/>
      <c r="Y1" s="25" t="s">
        <v>72</v>
      </c>
    </row>
    <row r="2" spans="1:25" x14ac:dyDescent="0.3">
      <c r="A2" s="50" t="s">
        <v>60</v>
      </c>
      <c r="B2" s="35" t="s">
        <v>44</v>
      </c>
      <c r="D2" s="38" t="s">
        <v>115</v>
      </c>
      <c r="E2" s="31">
        <v>5800</v>
      </c>
      <c r="F2" s="31" t="s">
        <v>199</v>
      </c>
      <c r="H2" s="21" t="s">
        <v>108</v>
      </c>
      <c r="I2" s="42">
        <v>1100</v>
      </c>
      <c r="J2" s="16" t="s">
        <v>96</v>
      </c>
      <c r="N2" s="62" t="s">
        <v>200</v>
      </c>
      <c r="O2" s="62" t="s">
        <v>201</v>
      </c>
      <c r="Q2" s="59" t="s">
        <v>126</v>
      </c>
      <c r="R2" s="58" t="s">
        <v>127</v>
      </c>
      <c r="S2" s="58" t="s">
        <v>128</v>
      </c>
      <c r="U2" s="58" t="s">
        <v>174</v>
      </c>
      <c r="V2" s="58" t="s">
        <v>181</v>
      </c>
      <c r="X2" s="67">
        <v>1000</v>
      </c>
      <c r="Y2" s="70" t="s">
        <v>90</v>
      </c>
    </row>
    <row r="3" spans="1:25" x14ac:dyDescent="0.3">
      <c r="A3" s="50" t="s">
        <v>61</v>
      </c>
      <c r="B3" s="35" t="s">
        <v>102</v>
      </c>
      <c r="C3" s="34"/>
      <c r="D3" s="38" t="s">
        <v>116</v>
      </c>
      <c r="E3" s="31">
        <v>1032</v>
      </c>
      <c r="F3" s="35"/>
      <c r="G3" s="34"/>
      <c r="H3" s="21" t="s">
        <v>194</v>
      </c>
      <c r="I3" s="42">
        <v>1732</v>
      </c>
      <c r="J3" s="16" t="s">
        <v>96</v>
      </c>
      <c r="N3" s="61" t="s">
        <v>146</v>
      </c>
      <c r="O3" s="58" t="s">
        <v>147</v>
      </c>
      <c r="Q3" s="59" t="s">
        <v>129</v>
      </c>
      <c r="R3" s="58" t="s">
        <v>130</v>
      </c>
      <c r="S3" s="58" t="s">
        <v>131</v>
      </c>
      <c r="U3" s="58" t="s">
        <v>175</v>
      </c>
      <c r="V3" s="58" t="s">
        <v>182</v>
      </c>
      <c r="W3" s="34"/>
      <c r="X3" s="68"/>
      <c r="Y3" s="71"/>
    </row>
    <row r="4" spans="1:25" ht="15" thickBot="1" x14ac:dyDescent="0.35">
      <c r="A4" s="50" t="s">
        <v>62</v>
      </c>
      <c r="B4" s="35" t="s">
        <v>46</v>
      </c>
      <c r="C4" s="34"/>
      <c r="D4" s="38" t="s">
        <v>117</v>
      </c>
      <c r="E4" s="31">
        <v>5800</v>
      </c>
      <c r="F4" s="35"/>
      <c r="G4" s="34"/>
      <c r="H4" s="21" t="s">
        <v>109</v>
      </c>
      <c r="I4" s="42">
        <v>1100</v>
      </c>
      <c r="J4" s="16" t="s">
        <v>96</v>
      </c>
      <c r="N4" s="61" t="s">
        <v>148</v>
      </c>
      <c r="O4" s="58" t="s">
        <v>195</v>
      </c>
      <c r="Q4" s="59" t="s">
        <v>132</v>
      </c>
      <c r="R4" s="58" t="s">
        <v>133</v>
      </c>
      <c r="S4" s="58" t="s">
        <v>128</v>
      </c>
      <c r="U4" s="73" t="s">
        <v>180</v>
      </c>
      <c r="V4" s="73"/>
      <c r="W4" s="34"/>
      <c r="X4" s="69"/>
      <c r="Y4" s="72"/>
    </row>
    <row r="5" spans="1:25" x14ac:dyDescent="0.3">
      <c r="A5" s="50" t="s">
        <v>70</v>
      </c>
      <c r="B5" s="35">
        <v>1950</v>
      </c>
      <c r="C5" s="34"/>
      <c r="D5" s="38" t="s">
        <v>118</v>
      </c>
      <c r="E5" s="63">
        <v>0.59</v>
      </c>
      <c r="F5" s="35"/>
      <c r="G5" s="34"/>
      <c r="H5" s="21" t="s">
        <v>110</v>
      </c>
      <c r="I5" s="42">
        <v>1100</v>
      </c>
      <c r="J5" s="16" t="s">
        <v>96</v>
      </c>
      <c r="N5" s="61" t="s">
        <v>149</v>
      </c>
      <c r="O5" s="58" t="s">
        <v>196</v>
      </c>
      <c r="Q5" s="59" t="s">
        <v>134</v>
      </c>
      <c r="R5" s="58" t="s">
        <v>135</v>
      </c>
      <c r="S5" s="58" t="s">
        <v>136</v>
      </c>
      <c r="U5" s="58" t="s">
        <v>174</v>
      </c>
      <c r="V5" s="58" t="s">
        <v>185</v>
      </c>
      <c r="W5" s="34"/>
      <c r="X5" s="67">
        <v>600</v>
      </c>
      <c r="Y5" s="70" t="s">
        <v>73</v>
      </c>
    </row>
    <row r="6" spans="1:25" x14ac:dyDescent="0.3">
      <c r="A6" s="38" t="s">
        <v>116</v>
      </c>
      <c r="B6" s="82">
        <v>1032</v>
      </c>
      <c r="C6" s="34"/>
      <c r="D6" s="38" t="s">
        <v>119</v>
      </c>
      <c r="E6" s="31">
        <v>2390</v>
      </c>
      <c r="F6" s="35"/>
      <c r="G6" s="34"/>
      <c r="H6" s="55" t="s">
        <v>202</v>
      </c>
      <c r="I6" s="42">
        <v>1100</v>
      </c>
      <c r="J6" s="16" t="s">
        <v>96</v>
      </c>
      <c r="N6" s="61" t="s">
        <v>150</v>
      </c>
      <c r="O6" s="58" t="s">
        <v>151</v>
      </c>
      <c r="Q6" s="59" t="s">
        <v>137</v>
      </c>
      <c r="R6" s="58" t="s">
        <v>138</v>
      </c>
      <c r="S6" s="58" t="s">
        <v>139</v>
      </c>
      <c r="U6" s="58" t="s">
        <v>175</v>
      </c>
      <c r="V6" s="58" t="s">
        <v>186</v>
      </c>
      <c r="W6" s="34"/>
      <c r="X6" s="68"/>
      <c r="Y6" s="71"/>
    </row>
    <row r="7" spans="1:25" ht="15" customHeight="1" thickBot="1" x14ac:dyDescent="0.35">
      <c r="A7" s="50" t="s">
        <v>63</v>
      </c>
      <c r="B7" s="35" t="s">
        <v>0</v>
      </c>
      <c r="C7" s="34"/>
      <c r="D7" s="38" t="s">
        <v>121</v>
      </c>
      <c r="E7" s="31">
        <v>1000</v>
      </c>
      <c r="F7" s="35" t="s">
        <v>96</v>
      </c>
      <c r="G7" s="34"/>
      <c r="H7" s="21" t="s">
        <v>111</v>
      </c>
      <c r="I7" s="42">
        <v>2832</v>
      </c>
      <c r="J7" s="16" t="s">
        <v>96</v>
      </c>
      <c r="N7" s="61" t="s">
        <v>152</v>
      </c>
      <c r="O7" s="58" t="s">
        <v>153</v>
      </c>
      <c r="Q7" s="59" t="s">
        <v>140</v>
      </c>
      <c r="R7" s="58" t="s">
        <v>135</v>
      </c>
      <c r="S7" s="58" t="s">
        <v>141</v>
      </c>
      <c r="U7" s="73" t="s">
        <v>177</v>
      </c>
      <c r="V7" s="73"/>
      <c r="W7" s="34"/>
      <c r="X7" s="69"/>
      <c r="Y7" s="72"/>
    </row>
    <row r="8" spans="1:25" x14ac:dyDescent="0.3">
      <c r="A8" s="50" t="s">
        <v>64</v>
      </c>
      <c r="B8" s="35" t="s">
        <v>58</v>
      </c>
      <c r="C8" s="34"/>
      <c r="D8" s="56" t="s">
        <v>120</v>
      </c>
      <c r="E8" s="31">
        <v>2032</v>
      </c>
      <c r="F8" s="35" t="s">
        <v>96</v>
      </c>
      <c r="G8" s="34"/>
      <c r="H8" s="55" t="s">
        <v>203</v>
      </c>
      <c r="I8" s="64" t="s">
        <v>204</v>
      </c>
      <c r="J8" s="16" t="s">
        <v>106</v>
      </c>
      <c r="N8" s="61" t="s">
        <v>154</v>
      </c>
      <c r="O8" s="58" t="s">
        <v>155</v>
      </c>
      <c r="Q8" s="59">
        <v>1</v>
      </c>
      <c r="R8" s="58" t="s">
        <v>127</v>
      </c>
      <c r="S8" s="58" t="s">
        <v>142</v>
      </c>
      <c r="U8" s="58" t="s">
        <v>174</v>
      </c>
      <c r="V8" s="58" t="s">
        <v>187</v>
      </c>
      <c r="W8" s="34"/>
      <c r="X8" s="67">
        <v>1200</v>
      </c>
      <c r="Y8" s="70" t="s">
        <v>103</v>
      </c>
    </row>
    <row r="9" spans="1:25" x14ac:dyDescent="0.3">
      <c r="A9" s="50" t="s">
        <v>191</v>
      </c>
      <c r="B9" s="50" t="s">
        <v>192</v>
      </c>
      <c r="C9" s="34"/>
      <c r="D9" s="38" t="s">
        <v>122</v>
      </c>
      <c r="E9" s="63">
        <v>0.35</v>
      </c>
      <c r="F9" s="35" t="s">
        <v>205</v>
      </c>
      <c r="G9" s="34"/>
      <c r="H9" s="21" t="s">
        <v>112</v>
      </c>
      <c r="I9" s="64">
        <v>25</v>
      </c>
      <c r="J9" s="16" t="s">
        <v>97</v>
      </c>
      <c r="N9" s="61" t="s">
        <v>156</v>
      </c>
      <c r="O9" s="58" t="s">
        <v>157</v>
      </c>
      <c r="Q9" s="59">
        <v>2</v>
      </c>
      <c r="R9" s="58" t="s">
        <v>130</v>
      </c>
      <c r="S9" s="58" t="s">
        <v>143</v>
      </c>
      <c r="U9" s="58" t="s">
        <v>175</v>
      </c>
      <c r="V9" s="58" t="s">
        <v>188</v>
      </c>
      <c r="W9" s="34"/>
      <c r="X9" s="68"/>
      <c r="Y9" s="71"/>
    </row>
    <row r="10" spans="1:25" ht="15" customHeight="1" thickBot="1" x14ac:dyDescent="0.35">
      <c r="A10" s="50" t="s">
        <v>171</v>
      </c>
      <c r="B10" s="35" t="s">
        <v>172</v>
      </c>
      <c r="C10" s="34"/>
      <c r="D10" s="16"/>
      <c r="E10" s="16"/>
      <c r="F10" s="16"/>
      <c r="G10" s="34"/>
      <c r="H10" s="21" t="s">
        <v>113</v>
      </c>
      <c r="I10" s="64">
        <v>3</v>
      </c>
      <c r="J10" s="16" t="s">
        <v>93</v>
      </c>
      <c r="N10" s="61" t="s">
        <v>158</v>
      </c>
      <c r="O10" s="58" t="s">
        <v>159</v>
      </c>
      <c r="Q10" s="59">
        <v>3</v>
      </c>
      <c r="R10" s="58" t="s">
        <v>133</v>
      </c>
      <c r="S10" s="58" t="s">
        <v>144</v>
      </c>
      <c r="U10" s="73" t="s">
        <v>176</v>
      </c>
      <c r="V10" s="73"/>
      <c r="W10" s="34"/>
      <c r="X10" s="69"/>
      <c r="Y10" s="72"/>
    </row>
    <row r="11" spans="1:25" x14ac:dyDescent="0.3">
      <c r="A11" s="50" t="s">
        <v>67</v>
      </c>
      <c r="B11" s="35">
        <v>50</v>
      </c>
      <c r="C11" s="34"/>
      <c r="D11" s="38"/>
      <c r="E11" s="16"/>
      <c r="F11" s="16"/>
      <c r="G11" s="34"/>
      <c r="H11" s="47"/>
      <c r="I11" s="47"/>
      <c r="J11" s="47"/>
      <c r="K11" s="43"/>
      <c r="L11" s="43"/>
      <c r="M11" s="43"/>
      <c r="N11" s="61" t="s">
        <v>160</v>
      </c>
      <c r="O11" s="58" t="s">
        <v>161</v>
      </c>
      <c r="P11" s="43"/>
      <c r="Q11" s="59">
        <v>4</v>
      </c>
      <c r="R11" s="58" t="s">
        <v>135</v>
      </c>
      <c r="S11" s="58" t="s">
        <v>145</v>
      </c>
      <c r="T11" s="43"/>
      <c r="U11" s="58" t="s">
        <v>174</v>
      </c>
      <c r="V11" s="58" t="s">
        <v>189</v>
      </c>
      <c r="W11" s="34"/>
    </row>
    <row r="12" spans="1:25" x14ac:dyDescent="0.3">
      <c r="A12" s="50" t="s">
        <v>68</v>
      </c>
      <c r="B12" s="35">
        <v>24</v>
      </c>
      <c r="C12" s="34"/>
      <c r="D12" s="38"/>
      <c r="N12" s="61" t="s">
        <v>162</v>
      </c>
      <c r="O12" s="58" t="s">
        <v>163</v>
      </c>
      <c r="Q12" s="59">
        <v>5</v>
      </c>
      <c r="R12" s="58" t="s">
        <v>138</v>
      </c>
      <c r="S12" s="58" t="s">
        <v>145</v>
      </c>
      <c r="U12" s="58" t="s">
        <v>175</v>
      </c>
      <c r="V12" s="58" t="s">
        <v>190</v>
      </c>
    </row>
    <row r="13" spans="1:25" ht="14.4" customHeight="1" x14ac:dyDescent="0.3">
      <c r="A13" s="50" t="s">
        <v>193</v>
      </c>
      <c r="B13" s="48" t="s">
        <v>206</v>
      </c>
      <c r="D13" s="38"/>
      <c r="N13" s="61" t="s">
        <v>197</v>
      </c>
      <c r="O13" s="58" t="s">
        <v>198</v>
      </c>
      <c r="Q13" s="59">
        <v>6</v>
      </c>
      <c r="R13" s="58" t="s">
        <v>135</v>
      </c>
      <c r="S13" s="58" t="s">
        <v>145</v>
      </c>
      <c r="U13" s="73" t="s">
        <v>177</v>
      </c>
      <c r="V13" s="73"/>
    </row>
    <row r="14" spans="1:25" x14ac:dyDescent="0.3">
      <c r="D14" s="38"/>
      <c r="N14" s="61" t="s">
        <v>164</v>
      </c>
      <c r="O14" s="58" t="s">
        <v>165</v>
      </c>
      <c r="Q14" s="38"/>
      <c r="U14" s="58" t="s">
        <v>174</v>
      </c>
      <c r="V14" s="58" t="s">
        <v>187</v>
      </c>
      <c r="W14" s="26"/>
    </row>
    <row r="15" spans="1:25" x14ac:dyDescent="0.3">
      <c r="A15" s="50"/>
      <c r="B15" s="35"/>
      <c r="D15" s="38"/>
      <c r="N15" s="61" t="s">
        <v>166</v>
      </c>
      <c r="O15" s="58" t="s">
        <v>167</v>
      </c>
      <c r="Q15" s="38"/>
      <c r="U15" s="58" t="s">
        <v>175</v>
      </c>
      <c r="V15" s="58" t="s">
        <v>188</v>
      </c>
      <c r="W15" s="26"/>
    </row>
    <row r="16" spans="1:25" ht="14.4" customHeight="1" x14ac:dyDescent="0.3">
      <c r="A16" s="50"/>
      <c r="B16" s="35"/>
      <c r="D16" s="38"/>
      <c r="N16" s="61" t="s">
        <v>168</v>
      </c>
      <c r="O16" s="58" t="s">
        <v>169</v>
      </c>
      <c r="Q16" s="38"/>
      <c r="U16" s="73" t="s">
        <v>178</v>
      </c>
      <c r="V16" s="73"/>
      <c r="W16" s="26"/>
    </row>
    <row r="17" spans="3:23" ht="15.6" x14ac:dyDescent="0.3">
      <c r="D17" s="38"/>
      <c r="G17" s="36"/>
      <c r="Q17" s="38"/>
      <c r="U17" s="58" t="s">
        <v>174</v>
      </c>
      <c r="V17" s="58"/>
      <c r="W17" s="26"/>
    </row>
    <row r="18" spans="3:23" ht="15.6" x14ac:dyDescent="0.3">
      <c r="C18" s="36"/>
      <c r="D18" s="38"/>
      <c r="G18" s="31"/>
      <c r="Q18" s="38"/>
      <c r="U18" s="58" t="s">
        <v>175</v>
      </c>
      <c r="V18" s="58"/>
      <c r="W18" s="26"/>
    </row>
    <row r="19" spans="3:23" x14ac:dyDescent="0.3">
      <c r="C19" s="31"/>
      <c r="D19" s="38"/>
      <c r="G19" s="35"/>
      <c r="Q19" s="38"/>
      <c r="U19" s="73" t="s">
        <v>179</v>
      </c>
      <c r="V19" s="73"/>
      <c r="W19" s="26"/>
    </row>
    <row r="20" spans="3:23" x14ac:dyDescent="0.3">
      <c r="C20" s="35"/>
      <c r="D20" s="38"/>
      <c r="G20" s="35"/>
      <c r="Q20" s="38"/>
      <c r="U20" s="58" t="s">
        <v>174</v>
      </c>
      <c r="V20" s="58" t="s">
        <v>183</v>
      </c>
    </row>
    <row r="21" spans="3:23" x14ac:dyDescent="0.3">
      <c r="C21" s="35"/>
      <c r="D21" s="38"/>
      <c r="G21" s="35"/>
      <c r="Q21" s="38"/>
      <c r="U21" s="58" t="s">
        <v>175</v>
      </c>
      <c r="V21" s="58" t="s">
        <v>184</v>
      </c>
    </row>
    <row r="22" spans="3:23" x14ac:dyDescent="0.3">
      <c r="C22" s="35"/>
      <c r="D22" s="38"/>
      <c r="G22" s="35"/>
      <c r="Q22" s="38"/>
    </row>
    <row r="23" spans="3:23" x14ac:dyDescent="0.3">
      <c r="C23" s="35"/>
      <c r="D23" s="41"/>
      <c r="E23" s="35"/>
      <c r="F23" s="35"/>
      <c r="G23" s="35"/>
      <c r="I23" s="35"/>
      <c r="Q23" s="41"/>
      <c r="R23" s="35"/>
      <c r="S23" s="35"/>
      <c r="U23" s="35"/>
      <c r="V23" s="35"/>
    </row>
    <row r="24" spans="3:23" x14ac:dyDescent="0.3">
      <c r="C24" s="35"/>
      <c r="D24" s="42"/>
      <c r="E24" s="35"/>
      <c r="F24" s="35"/>
      <c r="I24" s="35"/>
      <c r="Q24" s="42"/>
      <c r="R24" s="35"/>
      <c r="S24" s="35"/>
      <c r="U24" s="35"/>
      <c r="V24" s="35"/>
    </row>
    <row r="25" spans="3:23" x14ac:dyDescent="0.3">
      <c r="D25" s="42"/>
      <c r="E25" s="35"/>
      <c r="F25" s="35"/>
      <c r="G25" s="35"/>
      <c r="H25" s="54"/>
      <c r="I25" s="35"/>
      <c r="J25" s="52"/>
      <c r="K25" s="47"/>
      <c r="L25" s="47"/>
      <c r="M25" s="47"/>
      <c r="N25" s="47"/>
      <c r="O25" s="47"/>
      <c r="P25" s="47"/>
      <c r="Q25" s="42"/>
      <c r="R25" s="35"/>
      <c r="S25" s="35"/>
      <c r="T25" s="47"/>
      <c r="U25" s="35"/>
      <c r="V25" s="35"/>
    </row>
    <row r="26" spans="3:23" x14ac:dyDescent="0.3">
      <c r="C26" s="35"/>
      <c r="D26" s="41"/>
      <c r="E26" s="35"/>
      <c r="F26" s="35"/>
      <c r="G26" s="35"/>
      <c r="H26" s="49"/>
      <c r="I26" s="35"/>
      <c r="J26" s="44"/>
      <c r="K26" s="43"/>
      <c r="L26" s="43"/>
      <c r="M26" s="43"/>
      <c r="N26" s="43"/>
      <c r="O26" s="43"/>
      <c r="P26" s="43"/>
      <c r="Q26" s="41"/>
      <c r="R26" s="35"/>
      <c r="S26" s="35"/>
      <c r="T26" s="43"/>
    </row>
    <row r="27" spans="3:23" x14ac:dyDescent="0.3">
      <c r="C27" s="35"/>
      <c r="D27" s="41"/>
      <c r="E27" s="35"/>
      <c r="F27" s="35"/>
      <c r="G27" s="35"/>
      <c r="I27" s="35"/>
      <c r="Q27" s="41"/>
      <c r="R27" s="35"/>
      <c r="S27" s="35"/>
    </row>
    <row r="28" spans="3:23" x14ac:dyDescent="0.3">
      <c r="C28" s="35"/>
      <c r="D28" s="30"/>
      <c r="E28" s="23"/>
      <c r="F28" s="23"/>
      <c r="G28" s="23"/>
      <c r="I28" s="23"/>
      <c r="Q28" s="30"/>
      <c r="R28" s="23"/>
      <c r="S28" s="23"/>
    </row>
    <row r="29" spans="3:23" x14ac:dyDescent="0.3">
      <c r="C29" s="23"/>
      <c r="D29" s="24"/>
      <c r="E29" s="18"/>
      <c r="F29" s="18"/>
      <c r="G29" s="18"/>
      <c r="I29" s="18"/>
      <c r="Q29" s="24"/>
      <c r="R29" s="18"/>
      <c r="S29" s="18"/>
    </row>
    <row r="30" spans="3:23" x14ac:dyDescent="0.3">
      <c r="C30" s="18"/>
      <c r="D30" s="24"/>
      <c r="E30" s="18"/>
      <c r="F30" s="18"/>
      <c r="G30" s="18"/>
      <c r="H30" s="32"/>
      <c r="I30" s="18"/>
      <c r="Q30" s="24"/>
      <c r="R30" s="18"/>
      <c r="S30" s="18"/>
    </row>
    <row r="31" spans="3:23" x14ac:dyDescent="0.3">
      <c r="C31" s="18"/>
    </row>
  </sheetData>
  <mergeCells count="17">
    <mergeCell ref="U13:V13"/>
    <mergeCell ref="U16:V16"/>
    <mergeCell ref="U19:V19"/>
    <mergeCell ref="X5:X7"/>
    <mergeCell ref="Y5:Y7"/>
    <mergeCell ref="X8:X10"/>
    <mergeCell ref="Y8:Y10"/>
    <mergeCell ref="U7:V7"/>
    <mergeCell ref="U10:V10"/>
    <mergeCell ref="A1:B1"/>
    <mergeCell ref="D1:F1"/>
    <mergeCell ref="H1:J1"/>
    <mergeCell ref="X2:X4"/>
    <mergeCell ref="Y2:Y4"/>
    <mergeCell ref="N1:O1"/>
    <mergeCell ref="U1:V1"/>
    <mergeCell ref="U4:V4"/>
  </mergeCells>
  <pageMargins left="0.7" right="0.7" top="0.75" bottom="0.75" header="0.3" footer="0.3"/>
  <pageSetup paperSize="9"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23E74-6C9B-4463-A68D-9BDF29C9AF8B}">
  <dimension ref="A1:K29"/>
  <sheetViews>
    <sheetView workbookViewId="0">
      <selection activeCell="E20" sqref="E20"/>
    </sheetView>
  </sheetViews>
  <sheetFormatPr defaultColWidth="9.109375" defaultRowHeight="14.4" x14ac:dyDescent="0.3"/>
  <cols>
    <col min="1" max="1" width="21" style="16" customWidth="1"/>
    <col min="2" max="2" width="56.33203125" style="21" customWidth="1"/>
    <col min="3" max="3" width="22" style="21" customWidth="1"/>
    <col min="4" max="4" width="9.6640625" style="17" customWidth="1"/>
    <col min="5" max="6" width="9.6640625" style="21" customWidth="1"/>
    <col min="7" max="7" width="5.44140625" style="21" customWidth="1"/>
    <col min="8" max="8" width="43.5546875" style="16" customWidth="1"/>
    <col min="9" max="9" width="7.33203125" style="16" bestFit="1" customWidth="1"/>
    <col min="10" max="10" width="4.33203125" style="16" bestFit="1" customWidth="1"/>
    <col min="11" max="16384" width="9.109375" style="16"/>
  </cols>
  <sheetData>
    <row r="1" spans="1:10" ht="15" thickBot="1" x14ac:dyDescent="0.35">
      <c r="A1" s="18"/>
      <c r="B1" s="25" t="s">
        <v>72</v>
      </c>
      <c r="D1" s="17" t="s">
        <v>101</v>
      </c>
      <c r="E1" s="21">
        <f>D19*5.15</f>
        <v>6180</v>
      </c>
    </row>
    <row r="2" spans="1:10" ht="15" customHeight="1" x14ac:dyDescent="0.3">
      <c r="A2" s="67">
        <v>1000</v>
      </c>
      <c r="B2" s="76" t="s">
        <v>90</v>
      </c>
      <c r="C2" s="34"/>
      <c r="D2" s="34"/>
    </row>
    <row r="3" spans="1:10" x14ac:dyDescent="0.3">
      <c r="A3" s="68"/>
      <c r="B3" s="77"/>
      <c r="C3" s="34"/>
      <c r="D3" s="34"/>
    </row>
    <row r="4" spans="1:10" ht="15" thickBot="1" x14ac:dyDescent="0.35">
      <c r="A4" s="69"/>
      <c r="B4" s="78"/>
      <c r="C4" s="34"/>
      <c r="D4" s="34"/>
    </row>
    <row r="5" spans="1:10" ht="15" customHeight="1" x14ac:dyDescent="0.3">
      <c r="A5" s="67">
        <v>600</v>
      </c>
      <c r="B5" s="76" t="s">
        <v>73</v>
      </c>
      <c r="C5" s="34"/>
      <c r="D5" s="34"/>
    </row>
    <row r="6" spans="1:10" x14ac:dyDescent="0.3">
      <c r="A6" s="68"/>
      <c r="B6" s="77"/>
      <c r="C6" s="34"/>
      <c r="D6" s="34"/>
    </row>
    <row r="7" spans="1:10" ht="15" thickBot="1" x14ac:dyDescent="0.35">
      <c r="A7" s="69"/>
      <c r="B7" s="78"/>
      <c r="C7" s="34"/>
      <c r="D7" s="34"/>
    </row>
    <row r="8" spans="1:10" ht="15" customHeight="1" x14ac:dyDescent="0.3">
      <c r="A8" s="67">
        <v>1200</v>
      </c>
      <c r="B8" s="76" t="s">
        <v>103</v>
      </c>
      <c r="C8" s="34"/>
      <c r="D8" s="34"/>
    </row>
    <row r="9" spans="1:10" x14ac:dyDescent="0.3">
      <c r="A9" s="68"/>
      <c r="B9" s="77"/>
      <c r="C9" s="34"/>
      <c r="D9" s="34"/>
    </row>
    <row r="10" spans="1:10" ht="15" thickBot="1" x14ac:dyDescent="0.35">
      <c r="A10" s="69"/>
      <c r="B10" s="78"/>
      <c r="C10" s="34"/>
      <c r="D10" s="34"/>
    </row>
    <row r="13" spans="1:10" ht="15.6" x14ac:dyDescent="0.3">
      <c r="A13" s="36" t="s">
        <v>30</v>
      </c>
      <c r="B13" s="37" t="e">
        <f>#REF!</f>
        <v>#REF!</v>
      </c>
      <c r="C13" s="66" t="s">
        <v>71</v>
      </c>
      <c r="D13" s="66"/>
      <c r="E13" s="66"/>
      <c r="F13" s="33"/>
      <c r="G13" s="74" t="s">
        <v>92</v>
      </c>
      <c r="H13" s="74"/>
      <c r="I13" s="74"/>
      <c r="J13" s="74"/>
    </row>
    <row r="14" spans="1:10" x14ac:dyDescent="0.3">
      <c r="A14" s="38" t="s">
        <v>60</v>
      </c>
      <c r="B14" s="35" t="e">
        <f>#REF!</f>
        <v>#REF!</v>
      </c>
      <c r="C14" s="38" t="s">
        <v>104</v>
      </c>
      <c r="D14" s="39" t="e">
        <f>#REF!</f>
        <v>#REF!</v>
      </c>
      <c r="E14" s="31" t="e">
        <f>#REF!</f>
        <v>#REF!</v>
      </c>
      <c r="G14" s="17" t="s">
        <v>82</v>
      </c>
      <c r="H14" s="16" t="s">
        <v>75</v>
      </c>
      <c r="I14" s="16">
        <f>D19+(D19*0.3)</f>
        <v>1560</v>
      </c>
      <c r="J14" s="16" t="s">
        <v>96</v>
      </c>
    </row>
    <row r="15" spans="1:10" x14ac:dyDescent="0.3">
      <c r="A15" s="38" t="s">
        <v>61</v>
      </c>
      <c r="B15" s="35" t="e">
        <f>#REF!</f>
        <v>#REF!</v>
      </c>
      <c r="C15" s="38" t="s">
        <v>105</v>
      </c>
      <c r="D15" s="39" t="e">
        <f>#REF!</f>
        <v>#REF!</v>
      </c>
      <c r="E15" s="35"/>
      <c r="G15" s="17" t="s">
        <v>83</v>
      </c>
      <c r="H15" s="16" t="s">
        <v>76</v>
      </c>
      <c r="I15" s="16" t="e">
        <f>D15</f>
        <v>#REF!</v>
      </c>
      <c r="J15" s="16" t="s">
        <v>96</v>
      </c>
    </row>
    <row r="16" spans="1:10" x14ac:dyDescent="0.3">
      <c r="A16" s="38" t="s">
        <v>62</v>
      </c>
      <c r="B16" s="35" t="e">
        <f>#REF!</f>
        <v>#REF!</v>
      </c>
      <c r="C16" s="38" t="s">
        <v>94</v>
      </c>
      <c r="D16" s="39" t="e">
        <f>#REF!</f>
        <v>#REF!</v>
      </c>
      <c r="E16" s="35"/>
      <c r="G16" s="17" t="s">
        <v>84</v>
      </c>
      <c r="H16" s="21" t="s">
        <v>77</v>
      </c>
      <c r="I16" s="16">
        <f>I14</f>
        <v>1560</v>
      </c>
      <c r="J16" s="16" t="s">
        <v>96</v>
      </c>
    </row>
    <row r="17" spans="1:11" ht="15.6" x14ac:dyDescent="0.3">
      <c r="A17" s="38" t="s">
        <v>70</v>
      </c>
      <c r="B17" s="35" t="e">
        <f>#REF!</f>
        <v>#REF!</v>
      </c>
      <c r="C17" s="38" t="s">
        <v>89</v>
      </c>
      <c r="D17" s="39" t="e">
        <f>#REF!</f>
        <v>#REF!</v>
      </c>
      <c r="E17" s="35"/>
      <c r="G17" s="17" t="s">
        <v>85</v>
      </c>
      <c r="H17" s="22" t="s">
        <v>78</v>
      </c>
      <c r="I17" s="16">
        <f>I14</f>
        <v>1560</v>
      </c>
      <c r="J17" s="16" t="s">
        <v>96</v>
      </c>
    </row>
    <row r="18" spans="1:11" x14ac:dyDescent="0.3">
      <c r="A18" s="38" t="s">
        <v>63</v>
      </c>
      <c r="B18" s="35" t="e">
        <f>#REF!</f>
        <v>#REF!</v>
      </c>
      <c r="C18" s="38" t="s">
        <v>95</v>
      </c>
      <c r="D18" s="39" t="e">
        <f>D17*D14-D15</f>
        <v>#REF!</v>
      </c>
      <c r="E18" s="35"/>
      <c r="H18" s="45" t="s">
        <v>99</v>
      </c>
      <c r="I18" s="16">
        <f>I17</f>
        <v>1560</v>
      </c>
      <c r="J18" s="16" t="s">
        <v>96</v>
      </c>
    </row>
    <row r="19" spans="1:11" x14ac:dyDescent="0.3">
      <c r="A19" s="38" t="s">
        <v>64</v>
      </c>
      <c r="B19" s="35" t="s">
        <v>58</v>
      </c>
      <c r="C19" s="38" t="s">
        <v>74</v>
      </c>
      <c r="D19" s="39">
        <f>A8</f>
        <v>1200</v>
      </c>
      <c r="E19" s="35" t="s">
        <v>96</v>
      </c>
      <c r="G19" s="17" t="s">
        <v>86</v>
      </c>
      <c r="H19" s="16" t="s">
        <v>79</v>
      </c>
      <c r="I19" s="16" t="e">
        <f>I18+I15</f>
        <v>#REF!</v>
      </c>
      <c r="J19" s="16" t="s">
        <v>96</v>
      </c>
    </row>
    <row r="20" spans="1:11" x14ac:dyDescent="0.3">
      <c r="A20" s="38" t="s">
        <v>59</v>
      </c>
      <c r="B20" s="35" t="s">
        <v>66</v>
      </c>
      <c r="C20" s="38" t="s">
        <v>91</v>
      </c>
      <c r="D20" s="40" t="e">
        <f>(D15+D19)/D14</f>
        <v>#REF!</v>
      </c>
      <c r="E20" s="35" t="e">
        <f>IF(D20&lt;D17,"Complied","Recheck")</f>
        <v>#REF!</v>
      </c>
      <c r="H20" s="45" t="s">
        <v>100</v>
      </c>
      <c r="I20" s="46" t="e">
        <f>100*(I18/D14)</f>
        <v>#REF!</v>
      </c>
      <c r="J20" s="16" t="s">
        <v>106</v>
      </c>
    </row>
    <row r="21" spans="1:11" x14ac:dyDescent="0.3">
      <c r="A21" s="38" t="s">
        <v>65</v>
      </c>
      <c r="B21" s="35" t="s">
        <v>66</v>
      </c>
      <c r="C21" s="35"/>
      <c r="D21" s="41"/>
      <c r="E21" s="35"/>
      <c r="G21" s="17" t="s">
        <v>87</v>
      </c>
      <c r="H21" s="16" t="s">
        <v>80</v>
      </c>
      <c r="I21" s="16">
        <v>25</v>
      </c>
      <c r="J21" s="16" t="s">
        <v>97</v>
      </c>
    </row>
    <row r="22" spans="1:11" x14ac:dyDescent="0.3">
      <c r="A22" s="38" t="s">
        <v>67</v>
      </c>
      <c r="B22" s="35" t="e">
        <f>#REF!</f>
        <v>#REF!</v>
      </c>
      <c r="C22" s="35"/>
      <c r="D22" s="41"/>
      <c r="E22" s="35"/>
      <c r="G22" s="17" t="s">
        <v>88</v>
      </c>
      <c r="H22" s="16" t="s">
        <v>81</v>
      </c>
      <c r="I22" s="16">
        <v>4</v>
      </c>
      <c r="J22" s="16" t="s">
        <v>93</v>
      </c>
    </row>
    <row r="23" spans="1:11" x14ac:dyDescent="0.3">
      <c r="A23" s="38" t="s">
        <v>68</v>
      </c>
      <c r="B23" s="35" t="e">
        <f>#REF!</f>
        <v>#REF!</v>
      </c>
      <c r="C23" s="38"/>
      <c r="D23" s="42"/>
      <c r="E23" s="35"/>
      <c r="G23" s="44" t="s">
        <v>47</v>
      </c>
      <c r="H23" s="75" t="s">
        <v>98</v>
      </c>
      <c r="I23" s="75"/>
      <c r="J23" s="75"/>
      <c r="K23" s="43"/>
    </row>
    <row r="24" spans="1:11" x14ac:dyDescent="0.3">
      <c r="A24" s="38" t="s">
        <v>69</v>
      </c>
      <c r="B24" s="35" t="e">
        <f>"Front - " &amp;#REF! &amp; "-FT"</f>
        <v>#REF!</v>
      </c>
      <c r="C24" s="38"/>
      <c r="D24" s="42"/>
      <c r="E24" s="35"/>
      <c r="H24" s="43"/>
      <c r="I24" s="43"/>
      <c r="J24" s="43"/>
    </row>
    <row r="25" spans="1:11" x14ac:dyDescent="0.3">
      <c r="A25" s="38"/>
      <c r="B25" s="35" t="e">
        <f>"Side - " &amp;#REF! &amp; "-FT"</f>
        <v>#REF!</v>
      </c>
      <c r="C25" s="35"/>
      <c r="D25" s="41"/>
      <c r="E25" s="35"/>
      <c r="H25" s="43"/>
      <c r="I25" s="43"/>
      <c r="J25" s="43"/>
    </row>
    <row r="26" spans="1:11" x14ac:dyDescent="0.3">
      <c r="A26" s="38"/>
      <c r="B26" s="35" t="e">
        <f>"Back - " &amp;#REF! &amp; "-FT"</f>
        <v>#REF!</v>
      </c>
      <c r="C26" s="35"/>
      <c r="D26" s="41"/>
      <c r="E26" s="35"/>
    </row>
    <row r="27" spans="1:11" x14ac:dyDescent="0.3">
      <c r="C27" s="23"/>
      <c r="D27" s="30"/>
      <c r="E27" s="23"/>
      <c r="F27" s="23"/>
      <c r="G27" s="23"/>
    </row>
    <row r="28" spans="1:11" x14ac:dyDescent="0.3">
      <c r="C28" s="18"/>
      <c r="D28" s="24"/>
      <c r="E28" s="18"/>
      <c r="F28" s="18"/>
      <c r="G28" s="18"/>
      <c r="H28" s="25"/>
    </row>
    <row r="29" spans="1:11" x14ac:dyDescent="0.3">
      <c r="C29" s="18"/>
      <c r="D29" s="24"/>
      <c r="E29" s="18"/>
      <c r="F29" s="18"/>
      <c r="G29" s="20"/>
      <c r="H29" s="32"/>
    </row>
  </sheetData>
  <mergeCells count="9">
    <mergeCell ref="C13:E13"/>
    <mergeCell ref="G13:J13"/>
    <mergeCell ref="H23:J23"/>
    <mergeCell ref="A2:A4"/>
    <mergeCell ref="B2:B4"/>
    <mergeCell ref="A5:A7"/>
    <mergeCell ref="B5:B7"/>
    <mergeCell ref="A8:A10"/>
    <mergeCell ref="B8:B10"/>
  </mergeCell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promptTitle="Project No." xr:uid="{7DBCF0E6-96E5-4F9F-861D-FFC58195A991}">
          <x14:formula1>
            <xm:f>_xlfn.ANCHORARRAY(#REF!)</xm:f>
          </x14:formula1>
          <xm:sqref>B13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D06EF-EC73-4234-A0BB-592FEBD8C4E2}">
  <sheetPr>
    <tabColor theme="2" tint="-0.249977111117893"/>
  </sheetPr>
  <dimension ref="A1:T15"/>
  <sheetViews>
    <sheetView workbookViewId="0"/>
  </sheetViews>
  <sheetFormatPr defaultRowHeight="14.4" outlineLevelRow="1" x14ac:dyDescent="0.3"/>
  <cols>
    <col min="1" max="1" width="33.33203125" customWidth="1"/>
    <col min="2" max="2" width="41.5546875" customWidth="1"/>
    <col min="3" max="3" width="47" customWidth="1"/>
    <col min="4" max="4" width="14.6640625" customWidth="1"/>
    <col min="5" max="13" width="11.44140625" customWidth="1"/>
    <col min="14" max="14" width="12.5546875" customWidth="1"/>
    <col min="15" max="15" width="14.6640625" customWidth="1"/>
    <col min="16" max="16" width="29.33203125" customWidth="1"/>
    <col min="17" max="17" width="22.33203125" customWidth="1"/>
    <col min="18" max="20" width="10.44140625" customWidth="1"/>
    <col min="21" max="21" width="26.109375" customWidth="1"/>
  </cols>
  <sheetData>
    <row r="1" spans="1:20" s="6" customFormat="1" ht="15.6" outlineLevel="1" x14ac:dyDescent="0.3">
      <c r="B1" s="8" t="s">
        <v>6</v>
      </c>
      <c r="D1" s="1" t="s">
        <v>12</v>
      </c>
      <c r="S1" s="11"/>
    </row>
    <row r="2" spans="1:20" s="6" customFormat="1" ht="15.6" outlineLevel="1" x14ac:dyDescent="0.3">
      <c r="B2" s="8" t="s">
        <v>1</v>
      </c>
      <c r="C2" s="5"/>
      <c r="D2" s="1" t="s">
        <v>13</v>
      </c>
      <c r="P2" t="s">
        <v>5</v>
      </c>
      <c r="Q2"/>
      <c r="R2"/>
      <c r="S2" s="11"/>
      <c r="T2"/>
    </row>
    <row r="3" spans="1:20" s="6" customFormat="1" ht="15.6" outlineLevel="1" x14ac:dyDescent="0.3">
      <c r="B3" s="8" t="s">
        <v>2</v>
      </c>
      <c r="D3" t="s">
        <v>3</v>
      </c>
      <c r="P3" t="s">
        <v>4</v>
      </c>
      <c r="Q3"/>
      <c r="R3"/>
      <c r="S3" s="11"/>
      <c r="T3" s="10" t="s">
        <v>7</v>
      </c>
    </row>
    <row r="4" spans="1:20" s="3" customFormat="1" outlineLevel="1" x14ac:dyDescent="0.3">
      <c r="E4" s="4"/>
      <c r="F4" s="4"/>
      <c r="G4" s="4"/>
      <c r="H4" s="4"/>
      <c r="I4" s="4"/>
      <c r="J4" s="4"/>
      <c r="K4" s="4"/>
      <c r="L4" s="4"/>
      <c r="M4" s="4"/>
      <c r="N4" s="4"/>
      <c r="O4" s="4"/>
      <c r="S4" s="4"/>
    </row>
    <row r="5" spans="1:20" s="3" customFormat="1" outlineLevel="1" x14ac:dyDescent="0.3">
      <c r="A5" s="9">
        <v>0.3</v>
      </c>
      <c r="B5" s="2" t="s">
        <v>8</v>
      </c>
      <c r="C5" s="2"/>
      <c r="D5" s="2"/>
      <c r="E5" s="7"/>
      <c r="F5" s="7"/>
      <c r="G5" s="7"/>
      <c r="H5" s="7"/>
      <c r="I5" s="7"/>
      <c r="J5" s="7"/>
      <c r="K5" s="7"/>
      <c r="L5" s="7"/>
      <c r="M5" s="4"/>
      <c r="N5" s="4"/>
      <c r="O5" s="4"/>
      <c r="P5" t="s">
        <v>11</v>
      </c>
      <c r="Q5" t="s">
        <v>15</v>
      </c>
      <c r="S5" s="4"/>
    </row>
    <row r="6" spans="1:20" s="3" customFormat="1" outlineLevel="1" x14ac:dyDescent="0.3">
      <c r="A6" s="9">
        <v>0.6</v>
      </c>
      <c r="B6" s="2" t="s">
        <v>9</v>
      </c>
      <c r="C6" s="2"/>
      <c r="D6" s="2"/>
      <c r="E6" s="7"/>
      <c r="F6" s="7"/>
      <c r="G6" s="7"/>
      <c r="H6" s="7"/>
      <c r="I6" s="7"/>
      <c r="J6" s="7"/>
      <c r="K6" s="7"/>
      <c r="L6" s="7"/>
      <c r="M6" s="4"/>
      <c r="N6" s="4"/>
      <c r="O6" s="4"/>
      <c r="S6" s="4"/>
    </row>
    <row r="7" spans="1:20" s="3" customFormat="1" ht="21" outlineLevel="1" x14ac:dyDescent="0.4">
      <c r="A7" s="9">
        <v>0.9</v>
      </c>
      <c r="B7" s="2" t="s">
        <v>10</v>
      </c>
      <c r="C7" s="2"/>
      <c r="D7" s="2"/>
      <c r="E7" s="7"/>
      <c r="F7" s="7"/>
      <c r="G7" s="7"/>
      <c r="H7" s="7"/>
      <c r="I7" s="7"/>
      <c r="J7" s="7"/>
      <c r="K7" s="7"/>
      <c r="L7" s="7"/>
      <c r="M7" s="4"/>
      <c r="N7" s="4"/>
      <c r="O7" s="4"/>
      <c r="P7" s="12" t="s">
        <v>26</v>
      </c>
      <c r="S7" s="4"/>
    </row>
    <row r="8" spans="1:20" x14ac:dyDescent="0.3">
      <c r="A8" t="s">
        <v>48</v>
      </c>
      <c r="B8" s="27" t="s">
        <v>49</v>
      </c>
      <c r="C8" t="e" vm="1">
        <v>#VALUE!</v>
      </c>
    </row>
    <row r="9" spans="1:20" x14ac:dyDescent="0.3">
      <c r="B9" s="27" t="s">
        <v>50</v>
      </c>
    </row>
    <row r="11" spans="1:20" x14ac:dyDescent="0.3">
      <c r="A11" s="14" t="s">
        <v>53</v>
      </c>
      <c r="B11" s="29" t="s">
        <v>57</v>
      </c>
    </row>
    <row r="12" spans="1:20" x14ac:dyDescent="0.3">
      <c r="A12" s="27" t="s">
        <v>51</v>
      </c>
    </row>
    <row r="13" spans="1:20" x14ac:dyDescent="0.3">
      <c r="A13" s="28" t="s">
        <v>52</v>
      </c>
    </row>
    <row r="14" spans="1:20" x14ac:dyDescent="0.3">
      <c r="A14" s="27" t="s">
        <v>55</v>
      </c>
      <c r="B14" s="27" t="s">
        <v>56</v>
      </c>
    </row>
    <row r="15" spans="1:20" x14ac:dyDescent="0.3">
      <c r="A15" s="27" t="s">
        <v>54</v>
      </c>
    </row>
  </sheetData>
  <conditionalFormatting sqref="T1:T7">
    <cfRule type="containsText" dxfId="1" priority="1" operator="containsText" text="PENDING">
      <formula>NOT(ISERROR(SEARCH("PENDING",T1)))</formula>
    </cfRule>
    <cfRule type="containsText" dxfId="0" priority="2" operator="containsText" text="COMPLETED">
      <formula>NOT(ISERROR(SEARCH("COMPLETED",T1)))</formula>
    </cfRule>
  </conditionalFormatting>
  <hyperlinks>
    <hyperlink ref="B2" r:id="rId1" xr:uid="{77C12363-707D-433B-BA5F-A22C5D23E9D4}"/>
    <hyperlink ref="D2" r:id="rId2" display="CALIFORNIA - ADUs" xr:uid="{B8E6E02F-91A2-4FA6-98F6-4470E40C12E1}"/>
    <hyperlink ref="D3" r:id="rId3" xr:uid="{FB1E5508-7B6E-4CC9-A9BD-6C48B32BD693}"/>
    <hyperlink ref="P2" r:id="rId4" display="ADU Code - CODE" xr:uid="{BC667A79-3A49-4BC8-B27F-2BF1B7ADD07C}"/>
    <hyperlink ref="P3" r:id="rId5" display="Primary Lot Code - CODE" xr:uid="{D977B085-2E12-419D-8366-0F7C912E0DC5}"/>
    <hyperlink ref="B3" r:id="rId6" xr:uid="{2FBFC46F-920B-4733-86A5-D36FD159E8F2}"/>
    <hyperlink ref="D1" r:id="rId7" display="California ADU Information" xr:uid="{F651F815-A83C-4716-9E05-249CAD39630C}"/>
    <hyperlink ref="B1" r:id="rId8" xr:uid="{DB9F10AC-D23C-41B9-91D4-DDA510CDC59A}"/>
    <hyperlink ref="T3" r:id="rId9" xr:uid="{FC3CB753-920B-4DAE-B33D-BF997F0E0553}"/>
    <hyperlink ref="P5" r:id="rId10" xr:uid="{191460F8-962D-4C1E-8F43-2934B12058D4}"/>
    <hyperlink ref="Q5" r:id="rId11" xr:uid="{C649AEC7-8E09-422C-AE89-F68478D3EE61}"/>
    <hyperlink ref="P7" r:id="rId12" xr:uid="{EC473C82-45A5-49B7-88CE-55BAFD396F2C}"/>
    <hyperlink ref="B8" r:id="rId13" xr:uid="{014B40C2-D848-4557-81CA-9F977ED896CE}"/>
    <hyperlink ref="B9" r:id="rId14" xr:uid="{D47E9B79-7041-4890-81D0-74AD898C10EA}"/>
    <hyperlink ref="A12" r:id="rId15" xr:uid="{6255A968-6BFA-495B-9468-3AC6970C597F}"/>
    <hyperlink ref="A13" r:id="rId16" xr:uid="{92339F9E-04E3-4FE3-8A25-02148FA12BEE}"/>
    <hyperlink ref="A14" r:id="rId17" display="MAEDbS" xr:uid="{14AFA6E0-0B4A-44B0-A0F7-614096EF4E7F}"/>
    <hyperlink ref="A15" r:id="rId18" xr:uid="{04F4F77E-99E1-4AD9-AAEC-4D8603A3FA4A}"/>
    <hyperlink ref="B14" r:id="rId19" xr:uid="{E8DABF26-DC68-46D0-AD96-054336E13BE4}"/>
    <hyperlink ref="B11" r:id="rId20" xr:uid="{16B62720-33F8-475E-99E5-FD0A0FBB824C}"/>
  </hyperlinks>
  <pageMargins left="0.7" right="0.7" top="0.75" bottom="0.75" header="0.3" footer="0.3"/>
  <pageSetup orientation="portrait" verticalDpi="0" r:id="rId21"/>
  <drawing r:id="rId22"/>
  <legacyDrawing r:id="rId2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8F0F-BC5E-41F7-AE2E-CA52DA8C5B0D}">
  <sheetPr codeName="Sheet6">
    <tabColor theme="7" tint="0.39997558519241921"/>
  </sheetPr>
  <dimension ref="A1:C13"/>
  <sheetViews>
    <sheetView workbookViewId="0"/>
  </sheetViews>
  <sheetFormatPr defaultRowHeight="14.4" x14ac:dyDescent="0.3"/>
  <cols>
    <col min="1" max="1" width="23.88671875" customWidth="1"/>
    <col min="2" max="2" width="16.6640625" customWidth="1"/>
    <col min="3" max="3" width="15.33203125" customWidth="1"/>
  </cols>
  <sheetData>
    <row r="1" spans="1:3" x14ac:dyDescent="0.3">
      <c r="A1" s="19" t="s">
        <v>45</v>
      </c>
    </row>
    <row r="2" spans="1:3" x14ac:dyDescent="0.3">
      <c r="A2" t="s">
        <v>14</v>
      </c>
      <c r="B2" t="s">
        <v>28</v>
      </c>
      <c r="C2" t="s">
        <v>29</v>
      </c>
    </row>
    <row r="3" spans="1:3" x14ac:dyDescent="0.3">
      <c r="A3" t="s">
        <v>41</v>
      </c>
      <c r="B3" t="s">
        <v>20</v>
      </c>
    </row>
    <row r="4" spans="1:3" x14ac:dyDescent="0.3">
      <c r="A4" t="s">
        <v>42</v>
      </c>
      <c r="B4" t="s">
        <v>20</v>
      </c>
    </row>
    <row r="5" spans="1:3" x14ac:dyDescent="0.3">
      <c r="A5" t="s">
        <v>43</v>
      </c>
      <c r="B5" t="s">
        <v>20</v>
      </c>
    </row>
    <row r="6" spans="1:3" x14ac:dyDescent="0.3">
      <c r="A6" t="s">
        <v>27</v>
      </c>
      <c r="B6" t="s">
        <v>20</v>
      </c>
    </row>
    <row r="7" spans="1:3" x14ac:dyDescent="0.3">
      <c r="A7" t="s">
        <v>23</v>
      </c>
      <c r="B7" t="s">
        <v>20</v>
      </c>
    </row>
    <row r="8" spans="1:3" x14ac:dyDescent="0.3">
      <c r="A8" t="s">
        <v>24</v>
      </c>
      <c r="B8" t="s">
        <v>20</v>
      </c>
    </row>
    <row r="9" spans="1:3" x14ac:dyDescent="0.3">
      <c r="A9" t="s">
        <v>25</v>
      </c>
      <c r="B9" t="s">
        <v>20</v>
      </c>
    </row>
    <row r="10" spans="1:3" x14ac:dyDescent="0.3">
      <c r="A10" t="s">
        <v>22</v>
      </c>
      <c r="B10" t="s">
        <v>20</v>
      </c>
    </row>
    <row r="11" spans="1:3" x14ac:dyDescent="0.3">
      <c r="A11" t="s">
        <v>19</v>
      </c>
      <c r="B11" t="s">
        <v>20</v>
      </c>
    </row>
    <row r="12" spans="1:3" x14ac:dyDescent="0.3">
      <c r="A12" t="s">
        <v>16</v>
      </c>
      <c r="B12" t="s">
        <v>17</v>
      </c>
      <c r="C12" t="s">
        <v>18</v>
      </c>
    </row>
    <row r="13" spans="1:3" x14ac:dyDescent="0.3">
      <c r="A13" t="s">
        <v>21</v>
      </c>
      <c r="B13" t="s">
        <v>20</v>
      </c>
    </row>
  </sheetData>
  <hyperlinks>
    <hyperlink ref="B12" r:id="rId1" location="nearby-on-street" xr:uid="{B223766C-4DF8-4B86-9278-B00A21E87F08}"/>
    <hyperlink ref="C12" r:id="rId2" xr:uid="{7B4689DE-8340-4892-A8D9-201B738CF3EC}"/>
    <hyperlink ref="B11" r:id="rId3" xr:uid="{D82C3C21-C21B-413E-AA5A-D7FD3F32DBD1}"/>
    <hyperlink ref="B13" r:id="rId4" xr:uid="{4948C2FC-55F9-46E3-A1B9-E0C48CA4C7BC}"/>
    <hyperlink ref="B10" r:id="rId5" location="data_s=id%3AdataSource_1-1951f287896-layer-36%3A125053" xr:uid="{B89C05E6-08A7-4C2F-BD83-6DEB5F43EB3F}"/>
    <hyperlink ref="B7" r:id="rId6" xr:uid="{FEA0CD2C-5E55-48B9-A63C-597A76DA5BF4}"/>
    <hyperlink ref="B8" r:id="rId7" xr:uid="{BBCB2158-E189-4A77-A7CE-7D96A669D844}"/>
    <hyperlink ref="B9" r:id="rId8" xr:uid="{5FC07DE0-DDE8-49A6-B8D9-137E82FDA5C4}"/>
    <hyperlink ref="B6" r:id="rId9" xr:uid="{36F07B02-90CE-47E8-8B1C-6622EFC76FE0}"/>
    <hyperlink ref="B2" r:id="rId10" xr:uid="{C7389850-5D01-492D-801A-54FDDB148568}"/>
    <hyperlink ref="C2" r:id="rId11" xr:uid="{F4DAA375-2299-4F40-9442-9AF911D61750}"/>
    <hyperlink ref="B3" r:id="rId12" xr:uid="{F5F36AD2-05B3-42A4-B65F-D7643900E7B7}"/>
    <hyperlink ref="B4" r:id="rId13" xr:uid="{6BB3CCEF-D57B-474F-8127-B29DC934D3E8}"/>
    <hyperlink ref="B5" r:id="rId14" xr:uid="{0FFFE886-2DEA-467F-82F9-9C174A4DE6AD}"/>
    <hyperlink ref="A1" location="'Master List'!A1" display="To Master List" xr:uid="{C2CDBFBD-5E37-4B5F-AECA-5420D7F6C20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A1C30-1813-4B53-9EFF-4B987B9D23B1}">
  <sheetPr codeName="Sheet7">
    <tabColor theme="5" tint="0.39997558519241921"/>
  </sheetPr>
  <dimension ref="A1:G20"/>
  <sheetViews>
    <sheetView workbookViewId="0">
      <selection sqref="A1:D1"/>
    </sheetView>
  </sheetViews>
  <sheetFormatPr defaultColWidth="12.5546875" defaultRowHeight="14.4" x14ac:dyDescent="0.3"/>
  <cols>
    <col min="1" max="1" width="16" customWidth="1"/>
    <col min="2" max="2" width="11.33203125" customWidth="1"/>
    <col min="5" max="6" width="9.33203125" customWidth="1"/>
    <col min="8" max="11" width="9.33203125" customWidth="1"/>
  </cols>
  <sheetData>
    <row r="1" spans="1:7" ht="18" x14ac:dyDescent="0.35">
      <c r="A1" s="80" t="s">
        <v>31</v>
      </c>
      <c r="B1" s="80"/>
      <c r="C1" s="80"/>
      <c r="D1" s="80"/>
      <c r="E1" s="15" t="s">
        <v>40</v>
      </c>
      <c r="F1" s="13"/>
    </row>
    <row r="3" spans="1:7" x14ac:dyDescent="0.3">
      <c r="A3" s="65" t="s">
        <v>32</v>
      </c>
      <c r="B3" s="65"/>
      <c r="C3" s="65"/>
      <c r="D3" s="65"/>
    </row>
    <row r="4" spans="1:7" x14ac:dyDescent="0.3">
      <c r="A4" s="79" t="s">
        <v>33</v>
      </c>
      <c r="B4" s="81"/>
      <c r="C4" s="81"/>
      <c r="D4" s="81"/>
      <c r="E4" s="81"/>
      <c r="F4" s="81"/>
    </row>
    <row r="5" spans="1:7" x14ac:dyDescent="0.3">
      <c r="A5" s="81"/>
      <c r="B5" s="81"/>
      <c r="C5" s="81"/>
      <c r="D5" s="81"/>
      <c r="E5" s="81"/>
      <c r="F5" s="81"/>
    </row>
    <row r="6" spans="1:7" x14ac:dyDescent="0.3">
      <c r="A6" s="81"/>
      <c r="B6" s="81"/>
      <c r="C6" s="81"/>
      <c r="D6" s="81"/>
      <c r="E6" s="81"/>
      <c r="F6" s="81"/>
    </row>
    <row r="7" spans="1:7" x14ac:dyDescent="0.3">
      <c r="A7" s="81"/>
      <c r="B7" s="81"/>
      <c r="C7" s="81"/>
      <c r="D7" s="81"/>
      <c r="E7" s="81"/>
      <c r="F7" s="81"/>
    </row>
    <row r="8" spans="1:7" x14ac:dyDescent="0.3">
      <c r="A8" s="81"/>
      <c r="B8" s="81"/>
      <c r="C8" s="81"/>
      <c r="D8" s="81"/>
      <c r="E8" s="81"/>
      <c r="F8" s="81"/>
    </row>
    <row r="9" spans="1:7" x14ac:dyDescent="0.3">
      <c r="A9" s="81"/>
      <c r="B9" s="81"/>
      <c r="C9" s="81"/>
      <c r="D9" s="81"/>
      <c r="E9" s="81"/>
      <c r="F9" s="81"/>
    </row>
    <row r="11" spans="1:7" x14ac:dyDescent="0.3">
      <c r="A11" s="65" t="s">
        <v>34</v>
      </c>
      <c r="B11" s="65"/>
      <c r="C11" s="65"/>
      <c r="D11" s="65"/>
    </row>
    <row r="12" spans="1:7" ht="15" customHeight="1" x14ac:dyDescent="0.3">
      <c r="A12" s="79" t="s">
        <v>35</v>
      </c>
      <c r="B12" s="79"/>
      <c r="C12" s="79"/>
      <c r="D12" s="79"/>
      <c r="E12" s="79"/>
      <c r="F12" s="79"/>
    </row>
    <row r="13" spans="1:7" x14ac:dyDescent="0.3">
      <c r="A13" s="79"/>
      <c r="B13" s="79"/>
      <c r="C13" s="79"/>
      <c r="D13" s="79"/>
      <c r="E13" s="79"/>
      <c r="F13" s="79"/>
    </row>
    <row r="14" spans="1:7" ht="15" customHeight="1" x14ac:dyDescent="0.3">
      <c r="A14" s="79" t="s">
        <v>36</v>
      </c>
      <c r="B14" s="79"/>
      <c r="C14" s="79"/>
      <c r="D14" s="79"/>
      <c r="E14" s="79"/>
      <c r="F14" s="79"/>
      <c r="G14" s="79"/>
    </row>
    <row r="15" spans="1:7" ht="15" customHeight="1" x14ac:dyDescent="0.3">
      <c r="A15" s="79"/>
      <c r="B15" s="79"/>
      <c r="C15" s="79"/>
      <c r="D15" s="79"/>
      <c r="E15" s="79"/>
      <c r="F15" s="79"/>
      <c r="G15" s="79"/>
    </row>
    <row r="16" spans="1:7" ht="15" customHeight="1" x14ac:dyDescent="0.3">
      <c r="A16" s="79" t="s">
        <v>37</v>
      </c>
      <c r="B16" s="79"/>
      <c r="C16" s="79"/>
      <c r="D16" s="79"/>
      <c r="E16" s="79"/>
      <c r="F16" s="79"/>
      <c r="G16" s="79"/>
    </row>
    <row r="17" spans="1:7" ht="15" customHeight="1" x14ac:dyDescent="0.3">
      <c r="A17" s="79"/>
      <c r="B17" s="79"/>
      <c r="C17" s="79"/>
      <c r="D17" s="79"/>
      <c r="E17" s="79"/>
      <c r="F17" s="79"/>
      <c r="G17" s="79"/>
    </row>
    <row r="18" spans="1:7" x14ac:dyDescent="0.3">
      <c r="A18" s="79" t="s">
        <v>38</v>
      </c>
      <c r="B18" s="79"/>
      <c r="C18" s="79"/>
      <c r="D18" s="79"/>
      <c r="E18" s="79"/>
      <c r="F18" s="79"/>
      <c r="G18" s="79"/>
    </row>
    <row r="19" spans="1:7" x14ac:dyDescent="0.3">
      <c r="A19" s="79"/>
      <c r="B19" s="79"/>
      <c r="C19" s="79"/>
      <c r="D19" s="79"/>
      <c r="E19" s="79"/>
      <c r="F19" s="79"/>
      <c r="G19" s="79"/>
    </row>
    <row r="20" spans="1:7" x14ac:dyDescent="0.3">
      <c r="A20" t="s">
        <v>39</v>
      </c>
    </row>
  </sheetData>
  <mergeCells count="8">
    <mergeCell ref="A14:G15"/>
    <mergeCell ref="A16:G17"/>
    <mergeCell ref="A18:G19"/>
    <mergeCell ref="A1:D1"/>
    <mergeCell ref="A3:D3"/>
    <mergeCell ref="A4:F9"/>
    <mergeCell ref="A11:D11"/>
    <mergeCell ref="A12:F13"/>
  </mergeCells>
  <hyperlinks>
    <hyperlink ref="E1" location="'CA Project Input'!A1" display="Back to Project" xr:uid="{BB4230E4-C20C-4700-BC6E-D92C6E9C9A27}"/>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671D96-DFC9-4B52-9B21-183DC4EF72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Civil-CoverSheet</vt:lpstr>
      <vt:lpstr>4_CAD Export-DNU_OLD</vt:lpstr>
      <vt:lpstr>NOTE</vt:lpstr>
      <vt:lpstr>0_Ref_Link</vt:lpstr>
      <vt:lpstr>1.3_Ref_Space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Nathan</dc:creator>
  <cp:lastModifiedBy>Pham, Nathan</cp:lastModifiedBy>
  <cp:lastPrinted>2025-09-10T10:32:06Z</cp:lastPrinted>
  <dcterms:created xsi:type="dcterms:W3CDTF">2015-06-05T18:17:20Z</dcterms:created>
  <dcterms:modified xsi:type="dcterms:W3CDTF">2026-04-10T08:23:34Z</dcterms:modified>
</cp:coreProperties>
</file>